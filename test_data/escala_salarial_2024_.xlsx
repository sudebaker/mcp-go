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A DECRETO" sheetId="1" state="visible" r:id="rId3"/>
  </sheets>
  <definedNames>
    <definedName function="false" hidden="true" localSheetId="0" name="_xlnm._FilterDatabase" vbProcedure="false">'PLANTA DECRETO'!$A$9:$Y$76</definedName>
    <definedName function="false" hidden="false" name="CEDULA" vbProcedure="false">#REF!</definedName>
    <definedName function="false" hidden="false" name="REFERENCI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<sst xmlns="http://schemas.openxmlformats.org/spreadsheetml/2006/main" count="107" uniqueCount="61">
  <si>
    <t xml:space="preserve">REPÚBLICA DE COLOMBIA</t>
  </si>
  <si>
    <t xml:space="preserve">DEPARTAMENTO ADMINISTRATIVO PARA LA PROSPERIDAD SOCIAL</t>
  </si>
  <si>
    <t xml:space="preserve">INSTITUTO COLOMBIANO DE BIENESTAR FAMILIAR</t>
  </si>
  <si>
    <t xml:space="preserve">DIRECCIÓN DE GESTIÓN HUMANA</t>
  </si>
  <si>
    <t xml:space="preserve">PLANTA DE PERSONAL DEL ICBF</t>
  </si>
  <si>
    <t xml:space="preserve">(Dto 03265 del 2002; 1020 de 2003; 1359 2-05-2006; 2489 de 2006; 1853 25-05-07; 423 14-05-2008; 4482 18-11-2009; 118 21-01-2010; 0988 14-05-2012 ; 1928 6-09-13; 1479 de 4-09-2017; 880 de 25-06-2020 y 2280 de 29-12-2023)</t>
  </si>
  <si>
    <t xml:space="preserve">Decreto No. 301 de 5 de marzo de 2024</t>
  </si>
  <si>
    <t xml:space="preserve">Denominación del Cargo</t>
  </si>
  <si>
    <t xml:space="preserve">Código</t>
  </si>
  <si>
    <t xml:space="preserve">Grado</t>
  </si>
  <si>
    <t xml:space="preserve">Total Empleos</t>
  </si>
  <si>
    <t xml:space="preserve">Asignación Básica Mensual
Incremento 10,88%</t>
  </si>
  <si>
    <t xml:space="preserve">Gastos de Reepresentacion</t>
  </si>
  <si>
    <t xml:space="preserve">Prima Técnica Cargo</t>
  </si>
  <si>
    <t xml:space="preserve">Total Mensual</t>
  </si>
  <si>
    <t xml:space="preserve">Asignación Básica Mensual Planta</t>
  </si>
  <si>
    <t xml:space="preserve">SUELDOS AÑO</t>
  </si>
  <si>
    <t xml:space="preserve">SUELDOS CON TRANSFERENCIAS</t>
  </si>
  <si>
    <t xml:space="preserve">FACTOR PRESTACIONAL</t>
  </si>
  <si>
    <t xml:space="preserve">AÑO</t>
  </si>
  <si>
    <t xml:space="preserve">PROMEDIO MES</t>
  </si>
  <si>
    <t xml:space="preserve">COSTO MES TOTAL CARGOS</t>
  </si>
  <si>
    <t xml:space="preserve">PROMEDIO MES NIVEL</t>
  </si>
  <si>
    <t xml:space="preserve">Nivel Directivo</t>
  </si>
  <si>
    <t xml:space="preserve">DIRECTOR GENERAL</t>
  </si>
  <si>
    <t xml:space="preserve">0015</t>
  </si>
  <si>
    <t xml:space="preserve">SECRETARIO GENERAL </t>
  </si>
  <si>
    <t xml:space="preserve">0037</t>
  </si>
  <si>
    <t xml:space="preserve">SUBDIRECTOR GENERAL</t>
  </si>
  <si>
    <t xml:space="preserve">0040</t>
  </si>
  <si>
    <t xml:space="preserve">DIRECTOR REGIONAL</t>
  </si>
  <si>
    <t xml:space="preserve">0042</t>
  </si>
  <si>
    <t xml:space="preserve">DIRECTOR TECNICO</t>
  </si>
  <si>
    <t xml:space="preserve">0100</t>
  </si>
  <si>
    <t xml:space="preserve">SUBDIRECTOR TECNICO</t>
  </si>
  <si>
    <t xml:space="preserve">0150</t>
  </si>
  <si>
    <t xml:space="preserve">JEFE DE OFICINA</t>
  </si>
  <si>
    <t xml:space="preserve">0137</t>
  </si>
  <si>
    <t xml:space="preserve">Subtotal</t>
  </si>
  <si>
    <t xml:space="preserve">Nivel Asesor</t>
  </si>
  <si>
    <t xml:space="preserve">ASESOR</t>
  </si>
  <si>
    <t xml:space="preserve">JEFE DE OFICINA ASESORA</t>
  </si>
  <si>
    <t xml:space="preserve">Nivel Profesional</t>
  </si>
  <si>
    <t xml:space="preserve">PROFESIONAL ESPECIALIZADO</t>
  </si>
  <si>
    <t xml:space="preserve">PROFESIONAL UNIVERSITARIO</t>
  </si>
  <si>
    <t xml:space="preserve">DEFENSOR DE FAMILIA</t>
  </si>
  <si>
    <t xml:space="preserve">Nivel Técnico</t>
  </si>
  <si>
    <t xml:space="preserve">TECNICO ADMINISTRATIVO</t>
  </si>
  <si>
    <t xml:space="preserve">Nivel Asistencial</t>
  </si>
  <si>
    <t xml:space="preserve">AUXILIAR ADMINISTRATIVO</t>
  </si>
  <si>
    <t xml:space="preserve">CONDUCTOR MECANICO</t>
  </si>
  <si>
    <t xml:space="preserve">SECRETARIO</t>
  </si>
  <si>
    <t xml:space="preserve">SECRETARIO EJECUTIVO</t>
  </si>
  <si>
    <t xml:space="preserve">Total</t>
  </si>
  <si>
    <t xml:space="preserve">SalarioMínimoLegal</t>
  </si>
  <si>
    <t xml:space="preserve">BaseBSP</t>
  </si>
  <si>
    <t xml:space="preserve">&lt; 50% Y &gt; 35%</t>
  </si>
  <si>
    <t xml:space="preserve">BasedeAlimentación</t>
  </si>
  <si>
    <t xml:space="preserve">IncrementoSMMLV</t>
  </si>
  <si>
    <t xml:space="preserve">SubsidiodeAilimentación</t>
  </si>
  <si>
    <t xml:space="preserve">AuxiliodeTransportes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</si>
</sst>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_([$€-2]* #,##0.00_);_([$€-2]* \(#,##0.00\);_([$€-2]* \-??_)"/>
    <numFmt numFmtId="167" formatCode="0\ %"/>
    <numFmt numFmtId="168" formatCode="0"/>
    <numFmt numFmtId="169" formatCode="#,##0"/>
    <numFmt numFmtId="170" formatCode="@"/>
    <numFmt numFmtId="171" formatCode="#,##0.00"/>
    <numFmt numFmtId="172" formatCode="_-* #,##0_-;\-* #,##0_-;_-* \-??_-;_-@_-"/>
    <numFmt numFmtId="173" formatCode="0.0%"/>
    <numFmt numFmtId="174" formatCode="0.00\ %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2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3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3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2" xfId="23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9" fontId="6" fillId="2" borderId="2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23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1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2" borderId="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2" borderId="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2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2" borderId="2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2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5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2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7" fillId="2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1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2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10" xfId="20"/>
    <cellStyle name="Millares 10 10" xfId="21"/>
    <cellStyle name="Normal 2" xfId="22"/>
    <cellStyle name="Normal 2 2 2 2 2" xfId="23"/>
    <cellStyle name="Normal 25" xfId="24"/>
    <cellStyle name="Porcentaje 2" xfId="2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11.4296875" defaultRowHeight="11.25" customHeight="true" zeroHeight="false" outlineLevelRow="0" outlineLevelCol="0"/>
  <cols>
    <col collapsed="false" customWidth="true" hidden="false" outlineLevel="0" max="1" min="1" style="1" width="23.28"/>
    <col collapsed="false" customWidth="true" hidden="false" outlineLevel="0" max="2" min="2" style="1" width="6.57"/>
    <col collapsed="false" customWidth="true" hidden="false" outlineLevel="0" max="3" min="3" style="1" width="5.71"/>
    <col collapsed="false" customWidth="true" hidden="false" outlineLevel="0" max="4" min="4" style="1" width="7.86"/>
    <col collapsed="false" customWidth="true" hidden="false" outlineLevel="0" max="5" min="5" style="1" width="18.57"/>
    <col collapsed="false" customWidth="true" hidden="true" outlineLevel="0" max="6" min="6" style="1" width="7.28"/>
    <col collapsed="false" customWidth="true" hidden="true" outlineLevel="0" max="7" min="7" style="1" width="10.14"/>
    <col collapsed="false" customWidth="true" hidden="false" outlineLevel="0" max="8" min="8" style="1" width="7.86"/>
    <col collapsed="false" customWidth="true" hidden="false" outlineLevel="0" max="9" min="9" style="1" width="11.86"/>
    <col collapsed="false" customWidth="true" hidden="false" outlineLevel="0" max="10" min="10" style="1" width="11.72"/>
    <col collapsed="false" customWidth="true" hidden="true" outlineLevel="0" max="11" min="11" style="1" width="16.72"/>
    <col collapsed="false" customWidth="true" hidden="true" outlineLevel="0" max="12" min="12" style="1" width="12.86"/>
    <col collapsed="false" customWidth="true" hidden="true" outlineLevel="0" max="13" min="13" style="1" width="4.86"/>
    <col collapsed="false" customWidth="true" hidden="true" outlineLevel="0" max="14" min="14" style="1" width="10.29"/>
    <col collapsed="false" customWidth="true" hidden="false" outlineLevel="0" max="15" min="15" style="1" width="5.14"/>
    <col collapsed="false" customWidth="true" hidden="false" outlineLevel="0" max="16" min="16" style="1" width="9.57"/>
    <col collapsed="false" customWidth="true" hidden="false" outlineLevel="0" max="17" min="17" style="1" width="7.28"/>
    <col collapsed="false" customWidth="true" hidden="false" outlineLevel="0" max="18" min="18" style="1" width="12.57"/>
    <col collapsed="false" customWidth="true" hidden="false" outlineLevel="0" max="19" min="19" style="1" width="15.15"/>
    <col collapsed="false" customWidth="true" hidden="false" outlineLevel="0" max="20" min="20" style="1" width="9"/>
    <col collapsed="false" customWidth="true" hidden="true" outlineLevel="0" max="21" min="21" style="1" width="11.72"/>
    <col collapsed="false" customWidth="true" hidden="true" outlineLevel="0" max="22" min="22" style="1" width="9.14"/>
    <col collapsed="false" customWidth="true" hidden="true" outlineLevel="0" max="23" min="23" style="1" width="25"/>
    <col collapsed="false" customWidth="true" hidden="true" outlineLevel="0" max="24" min="24" style="1" width="9.57"/>
    <col collapsed="false" customWidth="false" hidden="true" outlineLevel="0" max="26" min="25" style="1" width="11.43"/>
    <col collapsed="false" customWidth="false" hidden="false" outlineLevel="0" max="16384" min="27" style="1" width="11.43"/>
  </cols>
  <sheetData>
    <row r="1" customFormat="false" ht="11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11.2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Format="false" ht="11.2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1.25" hidden="false" customHeight="fals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1.25" hidden="false" customHeight="fals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8.75" hidden="false" customHeight="true" outlineLevel="0" collapsed="false">
      <c r="A6" s="6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</row>
    <row r="7" customFormat="false" ht="11.25" hidden="false" customHeight="true" outlineLevel="0" collapsed="false">
      <c r="A7" s="9" t="s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customFormat="false" ht="11.25" hidden="false" customHeight="false" outlineLevel="0" collapsed="false">
      <c r="A8" s="10"/>
      <c r="B8" s="10"/>
      <c r="C8" s="10"/>
      <c r="D8" s="1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customFormat="false" ht="139.55" hidden="false" customHeight="false" outlineLevel="0" collapsed="false">
      <c r="A9" s="12" t="s">
        <v>7</v>
      </c>
      <c r="B9" s="12" t="s">
        <v>8</v>
      </c>
      <c r="C9" s="12" t="s">
        <v>9</v>
      </c>
      <c r="D9" s="13" t="s">
        <v>10</v>
      </c>
      <c r="E9" s="13" t="s">
        <v>11</v>
      </c>
      <c r="F9" s="13" t="s">
        <v>12</v>
      </c>
      <c r="G9" s="13"/>
      <c r="H9" s="13" t="s">
        <v>13</v>
      </c>
      <c r="I9" s="13" t="s">
        <v>14</v>
      </c>
      <c r="J9" s="13" t="s">
        <v>15</v>
      </c>
      <c r="K9" s="13" t="s">
        <v>15</v>
      </c>
      <c r="L9" s="14"/>
      <c r="M9" s="14"/>
      <c r="N9" s="14"/>
      <c r="O9" s="15" t="s">
        <v>16</v>
      </c>
      <c r="P9" s="15" t="s">
        <v>17</v>
      </c>
      <c r="Q9" s="15" t="s">
        <v>18</v>
      </c>
      <c r="R9" s="16" t="s">
        <v>19</v>
      </c>
      <c r="S9" s="16" t="s">
        <v>20</v>
      </c>
      <c r="T9" s="16" t="s">
        <v>20</v>
      </c>
      <c r="U9" s="16" t="s">
        <v>21</v>
      </c>
      <c r="V9" s="13" t="s">
        <v>22</v>
      </c>
      <c r="W9" s="17"/>
      <c r="X9" s="17"/>
    </row>
    <row r="10" customFormat="false" ht="12.65" hidden="false" customHeight="false" outlineLevel="0" collapsed="false">
      <c r="A10" s="18" t="s">
        <v>23</v>
      </c>
      <c r="B10" s="19"/>
      <c r="C10" s="19"/>
      <c r="D10" s="20"/>
      <c r="E10" s="21" t="n">
        <v>2024</v>
      </c>
      <c r="F10" s="21"/>
      <c r="G10" s="21"/>
      <c r="H10" s="22"/>
      <c r="I10" s="22"/>
      <c r="J10" s="21" t="n">
        <v>2024</v>
      </c>
      <c r="K10" s="21"/>
      <c r="L10" s="23"/>
      <c r="M10" s="24"/>
      <c r="N10" s="23"/>
      <c r="O10" s="25"/>
      <c r="P10" s="25"/>
      <c r="Q10" s="25"/>
      <c r="R10" s="26"/>
      <c r="S10" s="27"/>
      <c r="T10" s="21"/>
      <c r="U10" s="22"/>
      <c r="V10" s="28"/>
      <c r="W10" s="29"/>
      <c r="X10" s="30"/>
    </row>
    <row r="11" customFormat="false" ht="12.65" hidden="false" customHeight="false" outlineLevel="0" collapsed="false">
      <c r="A11" s="31" t="s">
        <v>24</v>
      </c>
      <c r="B11" s="32" t="s">
        <v>25</v>
      </c>
      <c r="C11" s="31" t="n">
        <v>25</v>
      </c>
      <c r="D11" s="33" t="n">
        <v>1</v>
      </c>
      <c r="E11" s="34" t="n">
        <v>17336871</v>
      </c>
      <c r="F11" s="25"/>
      <c r="G11" s="25" t="n">
        <f aca="false">ROUND((E11)*1.1088,0)</f>
        <v>19223123</v>
      </c>
      <c r="H11" s="25" t="n">
        <f aca="false">ROUND(E11*50/100,0)</f>
        <v>8668436</v>
      </c>
      <c r="I11" s="25" t="n">
        <f aca="false">+E11+F11+H11</f>
        <v>26005307</v>
      </c>
      <c r="J11" s="25" t="n">
        <f aca="false">ROUND(E11*D11,0)</f>
        <v>17336871</v>
      </c>
      <c r="K11" s="25" t="n">
        <f aca="false">+E11*D11</f>
        <v>17336871</v>
      </c>
      <c r="L11" s="23"/>
      <c r="M11" s="24"/>
      <c r="N11" s="23"/>
      <c r="O11" s="35" t="n">
        <v>29.938603250223</v>
      </c>
      <c r="P11" s="35" t="n">
        <v>34.961037481579</v>
      </c>
      <c r="Q11" s="36" t="n">
        <v>2.91341981230324</v>
      </c>
      <c r="R11" s="37" t="n">
        <f aca="false">+(E11+F11)*P11</f>
        <v>606114996.8443</v>
      </c>
      <c r="S11" s="25" t="n">
        <f aca="false">+R11*D11</f>
        <v>606114996.8443</v>
      </c>
      <c r="T11" s="38" t="n">
        <f aca="false">+R11/12</f>
        <v>50509583.0703583</v>
      </c>
      <c r="U11" s="38" t="n">
        <f aca="false">+T11*D11</f>
        <v>50509583.0703583</v>
      </c>
      <c r="V11" s="28"/>
      <c r="W11" s="27" t="str">
        <f aca="false">CONCATENATE(A11,C11)</f>
        <v>DIRECTOR GENERAL25</v>
      </c>
      <c r="X11" s="39" t="n">
        <f aca="false">+R11</f>
        <v>606114996.8443</v>
      </c>
      <c r="Y11" s="39" t="n">
        <f aca="false">+E11+F11</f>
        <v>17336871</v>
      </c>
    </row>
    <row r="12" customFormat="false" ht="12.65" hidden="false" customHeight="false" outlineLevel="0" collapsed="false">
      <c r="A12" s="31" t="s">
        <v>26</v>
      </c>
      <c r="B12" s="32" t="s">
        <v>27</v>
      </c>
      <c r="C12" s="31" t="n">
        <v>24</v>
      </c>
      <c r="D12" s="33" t="n">
        <v>1</v>
      </c>
      <c r="E12" s="34" t="n">
        <v>16079145</v>
      </c>
      <c r="F12" s="25"/>
      <c r="G12" s="25" t="n">
        <f aca="false">ROUND((E12)*1.1088,0)</f>
        <v>17828556</v>
      </c>
      <c r="H12" s="25" t="n">
        <f aca="false">ROUND(E12*50/100,0)</f>
        <v>8039573</v>
      </c>
      <c r="I12" s="25" t="n">
        <f aca="false">+E12+H12</f>
        <v>24118718</v>
      </c>
      <c r="J12" s="25" t="n">
        <f aca="false">ROUND(E12*D12,0)</f>
        <v>16079145</v>
      </c>
      <c r="K12" s="25" t="n">
        <f aca="false">+E12*D12</f>
        <v>16079145</v>
      </c>
      <c r="L12" s="23"/>
      <c r="M12" s="24"/>
      <c r="N12" s="23"/>
      <c r="O12" s="35" t="n">
        <v>24.5161820023148</v>
      </c>
      <c r="P12" s="35" t="n">
        <v>29.6396520856481</v>
      </c>
      <c r="Q12" s="36" t="n">
        <v>2.46997100713735</v>
      </c>
      <c r="R12" s="37" t="n">
        <f aca="false">+E12*P12</f>
        <v>476580263.634689</v>
      </c>
      <c r="S12" s="25" t="n">
        <f aca="false">+R12*D12</f>
        <v>476580263.634689</v>
      </c>
      <c r="T12" s="38" t="n">
        <f aca="false">+R12/12</f>
        <v>39715021.9695574</v>
      </c>
      <c r="U12" s="38" t="n">
        <f aca="false">+T12*D12</f>
        <v>39715021.9695574</v>
      </c>
      <c r="V12" s="28"/>
      <c r="W12" s="27" t="str">
        <f aca="false">CONCATENATE(A12,C12)</f>
        <v>SECRETARIO GENERAL 24</v>
      </c>
      <c r="X12" s="39" t="n">
        <f aca="false">+R12</f>
        <v>476580263.634689</v>
      </c>
      <c r="Y12" s="39" t="n">
        <f aca="false">+E12+F12</f>
        <v>16079145</v>
      </c>
    </row>
    <row r="13" customFormat="false" ht="12.65" hidden="false" customHeight="false" outlineLevel="0" collapsed="false">
      <c r="A13" s="31" t="s">
        <v>28</v>
      </c>
      <c r="B13" s="32" t="s">
        <v>29</v>
      </c>
      <c r="C13" s="31" t="n">
        <v>24</v>
      </c>
      <c r="D13" s="33" t="n">
        <v>1</v>
      </c>
      <c r="E13" s="34" t="n">
        <v>16079145</v>
      </c>
      <c r="F13" s="25"/>
      <c r="G13" s="25" t="n">
        <f aca="false">ROUND((E13)*1.1088,0)</f>
        <v>17828556</v>
      </c>
      <c r="H13" s="25" t="n">
        <f aca="false">ROUND(E13*50/100,0)</f>
        <v>8039573</v>
      </c>
      <c r="I13" s="25" t="n">
        <f aca="false">+E13+H13</f>
        <v>24118718</v>
      </c>
      <c r="J13" s="25" t="n">
        <f aca="false">ROUND(E13*D13,0)</f>
        <v>16079145</v>
      </c>
      <c r="K13" s="25" t="n">
        <f aca="false">+E13*D13</f>
        <v>16079145</v>
      </c>
      <c r="L13" s="23"/>
      <c r="M13" s="24"/>
      <c r="N13" s="23"/>
      <c r="O13" s="35" t="n">
        <v>24.5161820023148</v>
      </c>
      <c r="P13" s="35" t="n">
        <v>29.6396520856481</v>
      </c>
      <c r="Q13" s="36" t="n">
        <v>2.46997100713735</v>
      </c>
      <c r="R13" s="37" t="n">
        <f aca="false">+E13*P13</f>
        <v>476580263.634689</v>
      </c>
      <c r="S13" s="25" t="n">
        <f aca="false">+R13*D13</f>
        <v>476580263.634689</v>
      </c>
      <c r="T13" s="25" t="n">
        <f aca="false">+R13/12</f>
        <v>39715021.9695574</v>
      </c>
      <c r="U13" s="25" t="n">
        <f aca="false">+T13*D13</f>
        <v>39715021.9695574</v>
      </c>
      <c r="V13" s="28"/>
      <c r="W13" s="27" t="str">
        <f aca="false">CONCATENATE(A13,C13)</f>
        <v>SUBDIRECTOR GENERAL24</v>
      </c>
      <c r="X13" s="39" t="n">
        <f aca="false">+R13</f>
        <v>476580263.634689</v>
      </c>
      <c r="Y13" s="39" t="n">
        <f aca="false">+E13+F13</f>
        <v>16079145</v>
      </c>
    </row>
    <row r="14" customFormat="false" ht="12.65" hidden="false" customHeight="false" outlineLevel="0" collapsed="false">
      <c r="A14" s="40" t="s">
        <v>30</v>
      </c>
      <c r="B14" s="32" t="s">
        <v>31</v>
      </c>
      <c r="C14" s="31" t="n">
        <v>19</v>
      </c>
      <c r="D14" s="33" t="n">
        <v>5</v>
      </c>
      <c r="E14" s="34" t="n">
        <v>10998808</v>
      </c>
      <c r="F14" s="25"/>
      <c r="G14" s="25" t="n">
        <f aca="false">ROUND((E14)*1.1088,0)</f>
        <v>12195478</v>
      </c>
      <c r="H14" s="25" t="n">
        <f aca="false">ROUND(E14*50/100,0)</f>
        <v>5499404</v>
      </c>
      <c r="I14" s="25" t="n">
        <f aca="false">+E14+H14</f>
        <v>16498212</v>
      </c>
      <c r="J14" s="25" t="n">
        <f aca="false">ROUND(E14*D14,0)</f>
        <v>54994040</v>
      </c>
      <c r="K14" s="25" t="n">
        <f aca="false">+E14*D14</f>
        <v>54994040</v>
      </c>
      <c r="L14" s="23"/>
      <c r="M14" s="24"/>
      <c r="N14" s="23"/>
      <c r="O14" s="35" t="n">
        <v>22.536590470679</v>
      </c>
      <c r="P14" s="35" t="n">
        <v>25.9765808595679</v>
      </c>
      <c r="Q14" s="36" t="n">
        <v>2.16633998212449</v>
      </c>
      <c r="R14" s="37" t="n">
        <f aca="false">+E14*P14</f>
        <v>285711425.370862</v>
      </c>
      <c r="S14" s="25" t="n">
        <f aca="false">+R14*D14</f>
        <v>1428557126.85431</v>
      </c>
      <c r="T14" s="25" t="n">
        <f aca="false">+R14/12</f>
        <v>23809285.4475719</v>
      </c>
      <c r="U14" s="25" t="n">
        <f aca="false">+T14*D14</f>
        <v>119046427.237859</v>
      </c>
      <c r="V14" s="28"/>
      <c r="W14" s="27" t="str">
        <f aca="false">CONCATENATE(A14,C14)</f>
        <v>DIRECTOR REGIONAL19</v>
      </c>
      <c r="X14" s="39" t="n">
        <f aca="false">+R14</f>
        <v>285711425.370862</v>
      </c>
      <c r="Y14" s="39" t="n">
        <f aca="false">+E14+F14</f>
        <v>10998808</v>
      </c>
    </row>
    <row r="15" customFormat="false" ht="12.65" hidden="false" customHeight="false" outlineLevel="0" collapsed="false">
      <c r="A15" s="40" t="s">
        <v>30</v>
      </c>
      <c r="B15" s="32" t="s">
        <v>31</v>
      </c>
      <c r="C15" s="31" t="n">
        <v>18</v>
      </c>
      <c r="D15" s="33" t="n">
        <v>23</v>
      </c>
      <c r="E15" s="34" t="n">
        <v>10213966</v>
      </c>
      <c r="F15" s="25"/>
      <c r="G15" s="25" t="n">
        <f aca="false">ROUND((E15)*1.1088,0)</f>
        <v>11325246</v>
      </c>
      <c r="H15" s="25" t="n">
        <f aca="false">ROUND(E15*50/100,0)</f>
        <v>5106983</v>
      </c>
      <c r="I15" s="25" t="n">
        <f aca="false">+E15+H15</f>
        <v>15320949</v>
      </c>
      <c r="J15" s="25" t="n">
        <f aca="false">ROUND(E15*D15,0)</f>
        <v>234921218</v>
      </c>
      <c r="K15" s="25" t="n">
        <f aca="false">+E15*D15</f>
        <v>234921218</v>
      </c>
      <c r="L15" s="23"/>
      <c r="M15" s="24"/>
      <c r="N15" s="23"/>
      <c r="O15" s="35" t="n">
        <v>22.536590470679</v>
      </c>
      <c r="P15" s="35" t="n">
        <v>25.9765808595679</v>
      </c>
      <c r="Q15" s="36" t="n">
        <v>2.16633998212449</v>
      </c>
      <c r="R15" s="37" t="n">
        <f aca="false">+E15*P15</f>
        <v>265323913.695877</v>
      </c>
      <c r="S15" s="25" t="n">
        <f aca="false">+R15*D15</f>
        <v>6102450015.00518</v>
      </c>
      <c r="T15" s="25" t="n">
        <f aca="false">+R15/12</f>
        <v>22110326.1413231</v>
      </c>
      <c r="U15" s="25" t="n">
        <f aca="false">+T15*D15</f>
        <v>508537501.250432</v>
      </c>
      <c r="V15" s="28"/>
      <c r="W15" s="27" t="str">
        <f aca="false">CONCATENATE(A15,C15)</f>
        <v>DIRECTOR REGIONAL18</v>
      </c>
      <c r="X15" s="39" t="n">
        <f aca="false">+R15</f>
        <v>265323913.695877</v>
      </c>
      <c r="Y15" s="39" t="n">
        <f aca="false">+E15+F15</f>
        <v>10213966</v>
      </c>
    </row>
    <row r="16" customFormat="false" ht="12.65" hidden="false" customHeight="false" outlineLevel="0" collapsed="false">
      <c r="A16" s="40" t="s">
        <v>30</v>
      </c>
      <c r="B16" s="32" t="s">
        <v>31</v>
      </c>
      <c r="C16" s="31" t="n">
        <v>9</v>
      </c>
      <c r="D16" s="33" t="n">
        <v>5</v>
      </c>
      <c r="E16" s="34" t="n">
        <v>6982910</v>
      </c>
      <c r="F16" s="25"/>
      <c r="G16" s="25" t="n">
        <f aca="false">ROUND((E16)*1.1088,0)</f>
        <v>7742651</v>
      </c>
      <c r="H16" s="25" t="n">
        <f aca="false">ROUND(E16*50/100,0)</f>
        <v>3491455</v>
      </c>
      <c r="I16" s="25" t="n">
        <f aca="false">+E16+H16</f>
        <v>10474365</v>
      </c>
      <c r="J16" s="25" t="n">
        <f aca="false">ROUND(E16*D16,0)</f>
        <v>34914550</v>
      </c>
      <c r="K16" s="25" t="n">
        <f aca="false">+E16*D16</f>
        <v>34914550</v>
      </c>
      <c r="L16" s="23"/>
      <c r="M16" s="24"/>
      <c r="N16" s="23"/>
      <c r="O16" s="35" t="n">
        <v>22.536590470679</v>
      </c>
      <c r="P16" s="35" t="n">
        <v>25.9765808595679</v>
      </c>
      <c r="Q16" s="36" t="n">
        <v>2.16633998212449</v>
      </c>
      <c r="R16" s="37" t="n">
        <f aca="false">+E16*P16</f>
        <v>181392126.250085</v>
      </c>
      <c r="S16" s="25" t="n">
        <f aca="false">+R16*D16</f>
        <v>906960631.250427</v>
      </c>
      <c r="T16" s="25" t="n">
        <f aca="false">+R16/12</f>
        <v>15116010.5208404</v>
      </c>
      <c r="U16" s="25" t="n">
        <f aca="false">+T16*D16</f>
        <v>75580052.6042022</v>
      </c>
      <c r="V16" s="28"/>
      <c r="W16" s="27" t="str">
        <f aca="false">CONCATENATE(A16,C16)</f>
        <v>DIRECTOR REGIONAL9</v>
      </c>
      <c r="X16" s="39" t="n">
        <f aca="false">+R16</f>
        <v>181392126.250085</v>
      </c>
      <c r="Y16" s="39" t="n">
        <f aca="false">+E16+F16</f>
        <v>6982910</v>
      </c>
    </row>
    <row r="17" customFormat="false" ht="12.65" hidden="false" customHeight="false" outlineLevel="0" collapsed="false">
      <c r="A17" s="31" t="s">
        <v>32</v>
      </c>
      <c r="B17" s="32" t="s">
        <v>33</v>
      </c>
      <c r="C17" s="31" t="n">
        <v>23</v>
      </c>
      <c r="D17" s="33" t="n">
        <v>9</v>
      </c>
      <c r="E17" s="34" t="n">
        <v>14901073</v>
      </c>
      <c r="F17" s="25"/>
      <c r="G17" s="25" t="n">
        <f aca="false">ROUND((E17)*1.1088,0)</f>
        <v>16522310</v>
      </c>
      <c r="H17" s="25" t="n">
        <f aca="false">ROUND(E17*50/100,0)</f>
        <v>7450537</v>
      </c>
      <c r="I17" s="25" t="n">
        <f aca="false">+E17+H17</f>
        <v>22351610</v>
      </c>
      <c r="J17" s="25" t="n">
        <f aca="false">ROUND(E17*D17,0)</f>
        <v>134109657</v>
      </c>
      <c r="K17" s="25" t="n">
        <f aca="false">+E17*D17</f>
        <v>134109657</v>
      </c>
      <c r="L17" s="23"/>
      <c r="M17" s="24"/>
      <c r="N17" s="23"/>
      <c r="O17" s="35" t="n">
        <v>22.536590470679</v>
      </c>
      <c r="P17" s="35" t="n">
        <v>25.9765808595679</v>
      </c>
      <c r="Q17" s="36" t="n">
        <v>2.16633998212449</v>
      </c>
      <c r="R17" s="37" t="n">
        <f aca="false">+E17*P17</f>
        <v>387078927.678824</v>
      </c>
      <c r="S17" s="25" t="n">
        <f aca="false">+R17*D17</f>
        <v>3483710349.10942</v>
      </c>
      <c r="T17" s="25" t="n">
        <f aca="false">+R17/12</f>
        <v>32256577.3065687</v>
      </c>
      <c r="U17" s="25" t="n">
        <f aca="false">+T17*D17</f>
        <v>290309195.759118</v>
      </c>
      <c r="V17" s="28"/>
      <c r="W17" s="27" t="str">
        <f aca="false">CONCATENATE(A17,C17)</f>
        <v>DIRECTOR TECNICO23</v>
      </c>
      <c r="X17" s="39" t="n">
        <f aca="false">+R17</f>
        <v>387078927.678824</v>
      </c>
      <c r="Y17" s="39" t="n">
        <f aca="false">+E17+F17</f>
        <v>14901073</v>
      </c>
    </row>
    <row r="18" customFormat="false" ht="12.65" hidden="false" customHeight="false" outlineLevel="0" collapsed="false">
      <c r="A18" s="31" t="s">
        <v>32</v>
      </c>
      <c r="B18" s="32" t="s">
        <v>33</v>
      </c>
      <c r="C18" s="31" t="n">
        <v>22</v>
      </c>
      <c r="D18" s="33" t="n">
        <v>6</v>
      </c>
      <c r="E18" s="34" t="n">
        <v>13566889</v>
      </c>
      <c r="F18" s="25"/>
      <c r="G18" s="25" t="n">
        <f aca="false">ROUND((E18)*1.1088,0)</f>
        <v>15042967</v>
      </c>
      <c r="H18" s="25" t="n">
        <f aca="false">ROUND(E18*50/100,0)</f>
        <v>6783445</v>
      </c>
      <c r="I18" s="25" t="n">
        <f aca="false">+E18+H18</f>
        <v>20350334</v>
      </c>
      <c r="J18" s="25" t="n">
        <f aca="false">ROUND(E18*D18,0)</f>
        <v>81401334</v>
      </c>
      <c r="K18" s="25" t="n">
        <f aca="false">+E18*D18</f>
        <v>81401334</v>
      </c>
      <c r="L18" s="23"/>
      <c r="M18" s="24"/>
      <c r="N18" s="23"/>
      <c r="O18" s="35" t="n">
        <v>22.536590470679</v>
      </c>
      <c r="P18" s="35" t="n">
        <v>25.9765808595679</v>
      </c>
      <c r="Q18" s="36" t="n">
        <v>2.16633998212449</v>
      </c>
      <c r="R18" s="37" t="n">
        <f aca="false">+E18*P18</f>
        <v>352421389.121282</v>
      </c>
      <c r="S18" s="25" t="n">
        <f aca="false">+R18*D18</f>
        <v>2114528334.72769</v>
      </c>
      <c r="T18" s="25" t="n">
        <f aca="false">+R18/12</f>
        <v>29368449.0934402</v>
      </c>
      <c r="U18" s="25" t="n">
        <f aca="false">+T18*D18</f>
        <v>176210694.560641</v>
      </c>
      <c r="V18" s="28"/>
      <c r="W18" s="27" t="str">
        <f aca="false">CONCATENATE(A18,C18)</f>
        <v>DIRECTOR TECNICO22</v>
      </c>
      <c r="X18" s="39" t="n">
        <f aca="false">+R18</f>
        <v>352421389.121282</v>
      </c>
      <c r="Y18" s="39" t="n">
        <f aca="false">+E18+F18</f>
        <v>13566889</v>
      </c>
    </row>
    <row r="19" customFormat="false" ht="12.65" hidden="false" customHeight="false" outlineLevel="0" collapsed="false">
      <c r="A19" s="31" t="s">
        <v>34</v>
      </c>
      <c r="B19" s="32" t="s">
        <v>35</v>
      </c>
      <c r="C19" s="31" t="n">
        <v>21</v>
      </c>
      <c r="D19" s="33" t="n">
        <v>17</v>
      </c>
      <c r="E19" s="34" t="n">
        <v>12260463</v>
      </c>
      <c r="F19" s="25"/>
      <c r="G19" s="25" t="n">
        <f aca="false">ROUND((E19)*1.1088,0)</f>
        <v>13594401</v>
      </c>
      <c r="H19" s="25" t="n">
        <f aca="false">ROUND(E19*50/100,0)</f>
        <v>6130232</v>
      </c>
      <c r="I19" s="25" t="n">
        <f aca="false">+E19+H19</f>
        <v>18390695</v>
      </c>
      <c r="J19" s="25" t="n">
        <f aca="false">ROUND(E19*D19,0)</f>
        <v>208427871</v>
      </c>
      <c r="K19" s="25" t="n">
        <f aca="false">+E19*D19</f>
        <v>208427871</v>
      </c>
      <c r="L19" s="23"/>
      <c r="M19" s="24"/>
      <c r="N19" s="23"/>
      <c r="O19" s="35" t="n">
        <v>22.536590470679</v>
      </c>
      <c r="P19" s="35" t="n">
        <v>25.9765808595679</v>
      </c>
      <c r="Q19" s="36" t="n">
        <v>2.16633998212449</v>
      </c>
      <c r="R19" s="37" t="n">
        <f aca="false">+E19*P19</f>
        <v>318484908.49524</v>
      </c>
      <c r="S19" s="25" t="n">
        <f aca="false">+R19*D19</f>
        <v>5414243444.41909</v>
      </c>
      <c r="T19" s="25" t="n">
        <f aca="false">+R19/12</f>
        <v>26540409.04127</v>
      </c>
      <c r="U19" s="25" t="n">
        <f aca="false">+T19*D19</f>
        <v>451186953.701591</v>
      </c>
      <c r="V19" s="28"/>
      <c r="W19" s="27" t="str">
        <f aca="false">CONCATENATE(A19,C19)</f>
        <v>SUBDIRECTOR TECNICO21</v>
      </c>
      <c r="X19" s="39" t="n">
        <f aca="false">+R19</f>
        <v>318484908.49524</v>
      </c>
      <c r="Y19" s="39" t="n">
        <f aca="false">+E19+F19</f>
        <v>12260463</v>
      </c>
    </row>
    <row r="20" customFormat="false" ht="12.65" hidden="false" customHeight="false" outlineLevel="0" collapsed="false">
      <c r="A20" s="31" t="s">
        <v>36</v>
      </c>
      <c r="B20" s="32" t="s">
        <v>37</v>
      </c>
      <c r="C20" s="31" t="n">
        <v>22</v>
      </c>
      <c r="D20" s="33" t="n">
        <v>5</v>
      </c>
      <c r="E20" s="34" t="n">
        <v>13566889</v>
      </c>
      <c r="F20" s="25"/>
      <c r="G20" s="25" t="n">
        <f aca="false">ROUND((E20)*1.1088,0)</f>
        <v>15042967</v>
      </c>
      <c r="H20" s="25" t="n">
        <f aca="false">ROUND(E20*50/100,0)</f>
        <v>6783445</v>
      </c>
      <c r="I20" s="25" t="n">
        <f aca="false">+E20+H20</f>
        <v>20350334</v>
      </c>
      <c r="J20" s="25" t="n">
        <f aca="false">ROUND(E20*D20,0)</f>
        <v>67834445</v>
      </c>
      <c r="K20" s="25" t="n">
        <f aca="false">+E20*D20</f>
        <v>67834445</v>
      </c>
      <c r="L20" s="23"/>
      <c r="M20" s="24"/>
      <c r="N20" s="23"/>
      <c r="O20" s="35" t="n">
        <v>22.536590470679</v>
      </c>
      <c r="P20" s="35" t="n">
        <v>25.9765808595679</v>
      </c>
      <c r="Q20" s="36" t="n">
        <v>2.16633998212449</v>
      </c>
      <c r="R20" s="37" t="n">
        <f aca="false">+E20*P20</f>
        <v>352421389.121282</v>
      </c>
      <c r="S20" s="25" t="n">
        <f aca="false">+R20*D20</f>
        <v>1762106945.60641</v>
      </c>
      <c r="T20" s="25" t="n">
        <f aca="false">+R20/12</f>
        <v>29368449.0934402</v>
      </c>
      <c r="U20" s="25" t="n">
        <f aca="false">+T20*D20</f>
        <v>146842245.467201</v>
      </c>
      <c r="V20" s="28"/>
      <c r="W20" s="27" t="str">
        <f aca="false">CONCATENATE(A20,C20)</f>
        <v>JEFE DE OFICINA22</v>
      </c>
      <c r="X20" s="39" t="n">
        <f aca="false">+R20</f>
        <v>352421389.121282</v>
      </c>
      <c r="Y20" s="39" t="n">
        <f aca="false">+E20+F20</f>
        <v>13566889</v>
      </c>
    </row>
    <row r="21" customFormat="false" ht="12.65" hidden="false" customHeight="false" outlineLevel="0" collapsed="false">
      <c r="A21" s="41" t="s">
        <v>38</v>
      </c>
      <c r="B21" s="42"/>
      <c r="C21" s="42"/>
      <c r="D21" s="20" t="n">
        <f aca="false">SUM(D11:D20)</f>
        <v>73</v>
      </c>
      <c r="E21" s="26"/>
      <c r="F21" s="25"/>
      <c r="G21" s="25"/>
      <c r="H21" s="27"/>
      <c r="I21" s="27"/>
      <c r="J21" s="20" t="n">
        <f aca="false">SUM(J11:J20)</f>
        <v>866098276</v>
      </c>
      <c r="K21" s="43" t="n">
        <f aca="false">SUM(K11:K20)</f>
        <v>866098276</v>
      </c>
      <c r="L21" s="23"/>
      <c r="M21" s="44" t="n">
        <v>52</v>
      </c>
      <c r="N21" s="44" t="n">
        <f aca="false">+J21/D21</f>
        <v>11864359.9452055</v>
      </c>
      <c r="O21" s="45"/>
      <c r="P21" s="46"/>
      <c r="Q21" s="45"/>
      <c r="R21" s="37"/>
      <c r="S21" s="20" t="n">
        <f aca="false">SUM(S11:S20)</f>
        <v>22771832371.0862</v>
      </c>
      <c r="T21" s="25"/>
      <c r="U21" s="20" t="n">
        <f aca="false">SUM(U11:U20)</f>
        <v>1897652697.59052</v>
      </c>
      <c r="V21" s="20" t="n">
        <f aca="false">+U21/D21</f>
        <v>25995242.4327468</v>
      </c>
      <c r="W21" s="27"/>
      <c r="X21" s="39"/>
      <c r="Y21" s="23"/>
    </row>
    <row r="22" customFormat="false" ht="12.65" hidden="false" customHeight="false" outlineLevel="0" collapsed="false">
      <c r="A22" s="41" t="s">
        <v>39</v>
      </c>
      <c r="B22" s="42"/>
      <c r="C22" s="42"/>
      <c r="D22" s="20"/>
      <c r="E22" s="26"/>
      <c r="F22" s="25"/>
      <c r="G22" s="25"/>
      <c r="H22" s="27"/>
      <c r="I22" s="27"/>
      <c r="J22" s="27"/>
      <c r="K22" s="25"/>
      <c r="L22" s="23"/>
      <c r="M22" s="24"/>
      <c r="N22" s="23"/>
      <c r="O22" s="47"/>
      <c r="P22" s="48"/>
      <c r="Q22" s="47"/>
      <c r="R22" s="37"/>
      <c r="S22" s="25"/>
      <c r="T22" s="25"/>
      <c r="U22" s="28"/>
      <c r="V22" s="28"/>
      <c r="W22" s="27"/>
      <c r="X22" s="39"/>
      <c r="Y22" s="23"/>
    </row>
    <row r="23" customFormat="false" ht="12.65" hidden="false" customHeight="false" outlineLevel="0" collapsed="false">
      <c r="A23" s="31" t="s">
        <v>40</v>
      </c>
      <c r="B23" s="31" t="n">
        <v>1020</v>
      </c>
      <c r="C23" s="31" t="n">
        <v>18</v>
      </c>
      <c r="D23" s="33" t="n">
        <v>4</v>
      </c>
      <c r="E23" s="34" t="n">
        <v>16153855</v>
      </c>
      <c r="F23" s="25"/>
      <c r="G23" s="25" t="n">
        <f aca="false">ROUND((E23)*1.1088,0)</f>
        <v>17911394</v>
      </c>
      <c r="H23" s="25" t="n">
        <f aca="false">ROUND(E23*50/100,0)</f>
        <v>8076928</v>
      </c>
      <c r="I23" s="25" t="n">
        <f aca="false">+E23+H23</f>
        <v>24230783</v>
      </c>
      <c r="J23" s="25" t="n">
        <f aca="false">ROUND(E23*D23,0)</f>
        <v>64615420</v>
      </c>
      <c r="K23" s="25" t="n">
        <f aca="false">+E23*D23</f>
        <v>64615420</v>
      </c>
      <c r="L23" s="23"/>
      <c r="M23" s="24"/>
      <c r="N23" s="23"/>
      <c r="O23" s="35" t="n">
        <v>24.5161820023148</v>
      </c>
      <c r="P23" s="35" t="n">
        <v>29.6396520856481</v>
      </c>
      <c r="Q23" s="36" t="n">
        <v>2.46997100713735</v>
      </c>
      <c r="R23" s="37" t="n">
        <f aca="false">+E23*P23</f>
        <v>478794642.042008</v>
      </c>
      <c r="S23" s="25" t="n">
        <f aca="false">+R23*D23</f>
        <v>1915178568.16803</v>
      </c>
      <c r="T23" s="25" t="n">
        <f aca="false">+R23/12</f>
        <v>39899553.5035007</v>
      </c>
      <c r="U23" s="25" t="n">
        <f aca="false">+T23*D23</f>
        <v>159598214.014003</v>
      </c>
      <c r="V23" s="28"/>
      <c r="W23" s="27" t="str">
        <f aca="false">CONCATENATE(A23,C23)</f>
        <v>ASESOR18</v>
      </c>
      <c r="X23" s="39" t="n">
        <f aca="false">+R23</f>
        <v>478794642.042008</v>
      </c>
      <c r="Y23" s="39" t="n">
        <f aca="false">+E23</f>
        <v>16153855</v>
      </c>
    </row>
    <row r="24" customFormat="false" ht="12.65" hidden="false" customHeight="false" outlineLevel="0" collapsed="false">
      <c r="A24" s="31" t="s">
        <v>40</v>
      </c>
      <c r="B24" s="31" t="n">
        <v>1020</v>
      </c>
      <c r="C24" s="31" t="n">
        <v>16</v>
      </c>
      <c r="D24" s="33" t="n">
        <v>9</v>
      </c>
      <c r="E24" s="34" t="n">
        <v>13470323</v>
      </c>
      <c r="F24" s="25"/>
      <c r="G24" s="25" t="n">
        <f aca="false">ROUND((E24)*1.1088,0)</f>
        <v>14935894</v>
      </c>
      <c r="H24" s="25" t="n">
        <f aca="false">ROUND(E24*50/100,0)</f>
        <v>6735162</v>
      </c>
      <c r="I24" s="25" t="n">
        <f aca="false">+E24+H24</f>
        <v>20205485</v>
      </c>
      <c r="J24" s="25" t="n">
        <f aca="false">ROUND(E24*D24,0)</f>
        <v>121232907</v>
      </c>
      <c r="K24" s="25" t="n">
        <f aca="false">+E24*D24</f>
        <v>121232907</v>
      </c>
      <c r="L24" s="23"/>
      <c r="M24" s="24"/>
      <c r="N24" s="23"/>
      <c r="O24" s="35" t="n">
        <v>24.5161820023148</v>
      </c>
      <c r="P24" s="35" t="n">
        <v>29.6396520856481</v>
      </c>
      <c r="Q24" s="36" t="n">
        <v>2.46997100713735</v>
      </c>
      <c r="R24" s="37" t="n">
        <f aca="false">+E24*P24</f>
        <v>399255687.201304</v>
      </c>
      <c r="S24" s="25" t="n">
        <f aca="false">+R24*D24</f>
        <v>3593301184.81174</v>
      </c>
      <c r="T24" s="25" t="n">
        <f aca="false">+R24/12</f>
        <v>33271307.2667754</v>
      </c>
      <c r="U24" s="25" t="n">
        <f aca="false">+T24*D24</f>
        <v>299441765.400978</v>
      </c>
      <c r="V24" s="28"/>
      <c r="W24" s="27" t="str">
        <f aca="false">CONCATENATE(A24,C24)</f>
        <v>ASESOR16</v>
      </c>
      <c r="X24" s="39" t="n">
        <f aca="false">+R24</f>
        <v>399255687.201304</v>
      </c>
      <c r="Y24" s="39" t="n">
        <f aca="false">+E24</f>
        <v>13470323</v>
      </c>
    </row>
    <row r="25" customFormat="false" ht="12.65" hidden="false" customHeight="false" outlineLevel="0" collapsed="false">
      <c r="A25" s="31" t="s">
        <v>40</v>
      </c>
      <c r="B25" s="31" t="n">
        <v>1020</v>
      </c>
      <c r="C25" s="31" t="n">
        <v>15</v>
      </c>
      <c r="D25" s="33" t="n">
        <v>1</v>
      </c>
      <c r="E25" s="34" t="n">
        <v>12258871</v>
      </c>
      <c r="F25" s="25"/>
      <c r="G25" s="25" t="n">
        <f aca="false">ROUND((E25)*1.1088,0)</f>
        <v>13592636</v>
      </c>
      <c r="H25" s="25"/>
      <c r="I25" s="25" t="n">
        <f aca="false">+E25+H25</f>
        <v>12258871</v>
      </c>
      <c r="J25" s="25" t="n">
        <f aca="false">ROUND(E25*D25,0)</f>
        <v>12258871</v>
      </c>
      <c r="K25" s="25" t="n">
        <f aca="false">+E25*D25</f>
        <v>12258871</v>
      </c>
      <c r="L25" s="23"/>
      <c r="M25" s="24"/>
      <c r="N25" s="23"/>
      <c r="O25" s="47" t="n">
        <v>16.889877507716</v>
      </c>
      <c r="P25" s="48" t="n">
        <v>20.3294131188272</v>
      </c>
      <c r="Q25" s="36" t="n">
        <v>1.69411775990226</v>
      </c>
      <c r="R25" s="37" t="n">
        <f aca="false">+E25*P25</f>
        <v>249215652.92941</v>
      </c>
      <c r="S25" s="25" t="n">
        <f aca="false">+R25*D25</f>
        <v>249215652.92941</v>
      </c>
      <c r="T25" s="25" t="n">
        <f aca="false">+R25/12</f>
        <v>20767971.0774508</v>
      </c>
      <c r="U25" s="25" t="n">
        <f aca="false">+T25*D25</f>
        <v>20767971.0774508</v>
      </c>
      <c r="V25" s="28"/>
      <c r="W25" s="27" t="str">
        <f aca="false">CONCATENATE(A25,C25)</f>
        <v>ASESOR15</v>
      </c>
      <c r="X25" s="39" t="n">
        <f aca="false">+R25</f>
        <v>249215652.92941</v>
      </c>
      <c r="Y25" s="39" t="n">
        <f aca="false">+E25</f>
        <v>12258871</v>
      </c>
    </row>
    <row r="26" customFormat="false" ht="12.65" hidden="false" customHeight="false" outlineLevel="0" collapsed="false">
      <c r="A26" s="49" t="s">
        <v>41</v>
      </c>
      <c r="B26" s="31" t="n">
        <v>1045</v>
      </c>
      <c r="C26" s="31" t="n">
        <v>16</v>
      </c>
      <c r="D26" s="33" t="n">
        <v>2</v>
      </c>
      <c r="E26" s="34" t="n">
        <v>13470323</v>
      </c>
      <c r="F26" s="25"/>
      <c r="G26" s="25" t="n">
        <f aca="false">ROUND((E26)*1.1088,0)</f>
        <v>14935894</v>
      </c>
      <c r="H26" s="25" t="n">
        <f aca="false">ROUND(E26*50/100,0)</f>
        <v>6735162</v>
      </c>
      <c r="I26" s="25" t="n">
        <f aca="false">+E26+H26</f>
        <v>20205485</v>
      </c>
      <c r="J26" s="25" t="n">
        <f aca="false">ROUND(E26*D26,0)</f>
        <v>26940646</v>
      </c>
      <c r="K26" s="25" t="n">
        <f aca="false">+E26*D26</f>
        <v>26940646</v>
      </c>
      <c r="L26" s="23"/>
      <c r="M26" s="24"/>
      <c r="N26" s="23"/>
      <c r="O26" s="47" t="n">
        <v>22.8898775077161</v>
      </c>
      <c r="P26" s="48" t="n">
        <v>26.3294131188272</v>
      </c>
      <c r="Q26" s="36" t="n">
        <v>2.16633998212449</v>
      </c>
      <c r="R26" s="37" t="n">
        <f aca="false">+E26*P26</f>
        <v>354665699.111039</v>
      </c>
      <c r="S26" s="25" t="n">
        <f aca="false">+R26*D26</f>
        <v>709331398.222078</v>
      </c>
      <c r="T26" s="25" t="n">
        <f aca="false">+R26/12</f>
        <v>29555474.9259199</v>
      </c>
      <c r="U26" s="25" t="n">
        <f aca="false">+T26*D26</f>
        <v>59110949.8518399</v>
      </c>
      <c r="V26" s="28"/>
      <c r="W26" s="27" t="str">
        <f aca="false">CONCATENATE(A26,C26)</f>
        <v>JEFE DE OFICINA ASESORA16</v>
      </c>
      <c r="X26" s="39" t="n">
        <f aca="false">+R26</f>
        <v>354665699.111039</v>
      </c>
      <c r="Y26" s="39" t="n">
        <f aca="false">+E26</f>
        <v>13470323</v>
      </c>
    </row>
    <row r="27" customFormat="false" ht="12.65" hidden="false" customHeight="false" outlineLevel="0" collapsed="false">
      <c r="A27" s="41" t="s">
        <v>38</v>
      </c>
      <c r="B27" s="42"/>
      <c r="C27" s="42"/>
      <c r="D27" s="20" t="n">
        <f aca="false">SUM(D23:D26)</f>
        <v>16</v>
      </c>
      <c r="E27" s="26"/>
      <c r="F27" s="25"/>
      <c r="G27" s="25"/>
      <c r="H27" s="27"/>
      <c r="I27" s="27"/>
      <c r="J27" s="20" t="n">
        <f aca="false">SUM(J23:J26)</f>
        <v>225047844</v>
      </c>
      <c r="K27" s="43" t="n">
        <f aca="false">SUM(K23:K26)</f>
        <v>225047844</v>
      </c>
      <c r="L27" s="23"/>
      <c r="M27" s="44" t="n">
        <v>12</v>
      </c>
      <c r="N27" s="44" t="n">
        <f aca="false">+J27/D27</f>
        <v>14065490.25</v>
      </c>
      <c r="O27" s="47"/>
      <c r="P27" s="48"/>
      <c r="Q27" s="47"/>
      <c r="R27" s="37"/>
      <c r="S27" s="20" t="n">
        <f aca="false">SUM(S23:S26)</f>
        <v>6467026804.13126</v>
      </c>
      <c r="T27" s="25"/>
      <c r="U27" s="20" t="n">
        <f aca="false">SUM(U23:U26)</f>
        <v>538918900.344271</v>
      </c>
      <c r="V27" s="20" t="n">
        <f aca="false">+U27/D27</f>
        <v>33682431.271517</v>
      </c>
      <c r="W27" s="27"/>
      <c r="X27" s="39"/>
      <c r="Y27" s="23"/>
    </row>
    <row r="28" customFormat="false" ht="12.65" hidden="false" customHeight="false" outlineLevel="0" collapsed="false">
      <c r="A28" s="41" t="s">
        <v>42</v>
      </c>
      <c r="B28" s="42"/>
      <c r="C28" s="42"/>
      <c r="D28" s="20"/>
      <c r="E28" s="26"/>
      <c r="F28" s="25"/>
      <c r="G28" s="25"/>
      <c r="H28" s="27"/>
      <c r="I28" s="27"/>
      <c r="J28" s="27"/>
      <c r="K28" s="25"/>
      <c r="L28" s="23"/>
      <c r="M28" s="24"/>
      <c r="N28" s="23"/>
      <c r="O28" s="45"/>
      <c r="P28" s="46"/>
      <c r="Q28" s="45"/>
      <c r="R28" s="37"/>
      <c r="S28" s="25"/>
      <c r="T28" s="25"/>
      <c r="U28" s="25"/>
      <c r="V28" s="28"/>
      <c r="W28" s="27"/>
      <c r="X28" s="39"/>
      <c r="Y28" s="23"/>
    </row>
    <row r="29" customFormat="false" ht="12.65" hidden="false" customHeight="false" outlineLevel="0" collapsed="false">
      <c r="A29" s="40" t="s">
        <v>43</v>
      </c>
      <c r="B29" s="31" t="n">
        <v>2028</v>
      </c>
      <c r="C29" s="31" t="n">
        <v>24</v>
      </c>
      <c r="D29" s="33" t="n">
        <f aca="false">23+4</f>
        <v>27</v>
      </c>
      <c r="E29" s="34" t="n">
        <v>11284768</v>
      </c>
      <c r="F29" s="25"/>
      <c r="G29" s="25" t="n">
        <f aca="false">ROUND((E29)*1.1088,0)</f>
        <v>12512551</v>
      </c>
      <c r="H29" s="22"/>
      <c r="I29" s="22"/>
      <c r="J29" s="25" t="n">
        <f aca="false">ROUND(E29*D29,0)</f>
        <v>304688736</v>
      </c>
      <c r="K29" s="25" t="n">
        <f aca="false">+E29*D29</f>
        <v>304688736</v>
      </c>
      <c r="L29" s="23"/>
      <c r="M29" s="24"/>
      <c r="N29" s="23"/>
      <c r="O29" s="50" t="n">
        <v>16.8898775077161</v>
      </c>
      <c r="P29" s="35" t="n">
        <v>20.3294131188272</v>
      </c>
      <c r="Q29" s="36" t="n">
        <v>1.69411775990226</v>
      </c>
      <c r="R29" s="37" t="n">
        <f aca="false">+E29*P29</f>
        <v>229412710.622121</v>
      </c>
      <c r="S29" s="25" t="n">
        <f aca="false">+R29*D29</f>
        <v>6194143186.79727</v>
      </c>
      <c r="T29" s="25" t="n">
        <f aca="false">+R29/12</f>
        <v>19117725.8851767</v>
      </c>
      <c r="U29" s="25" t="n">
        <f aca="false">+T29*D29</f>
        <v>516178598.899772</v>
      </c>
      <c r="V29" s="28"/>
      <c r="W29" s="27" t="str">
        <f aca="false">CONCATENATE(A29,C29)</f>
        <v>PROFESIONAL ESPECIALIZADO24</v>
      </c>
      <c r="X29" s="39" t="n">
        <f aca="false">+R29</f>
        <v>229412710.622121</v>
      </c>
      <c r="Y29" s="39" t="n">
        <f aca="false">+E29</f>
        <v>11284768</v>
      </c>
    </row>
    <row r="30" customFormat="false" ht="12.65" hidden="false" customHeight="false" outlineLevel="0" collapsed="false">
      <c r="A30" s="40" t="s">
        <v>43</v>
      </c>
      <c r="B30" s="31" t="n">
        <v>2028</v>
      </c>
      <c r="C30" s="31" t="n">
        <v>23</v>
      </c>
      <c r="D30" s="33" t="n">
        <v>28</v>
      </c>
      <c r="E30" s="34" t="n">
        <v>10465010</v>
      </c>
      <c r="F30" s="25"/>
      <c r="G30" s="25" t="n">
        <f aca="false">ROUND((E30)*1.1088,0)</f>
        <v>11603603</v>
      </c>
      <c r="H30" s="22"/>
      <c r="I30" s="22"/>
      <c r="J30" s="25" t="n">
        <f aca="false">ROUND(E30*D30,0)</f>
        <v>293020280</v>
      </c>
      <c r="K30" s="25" t="n">
        <f aca="false">+E30*D30</f>
        <v>293020280</v>
      </c>
      <c r="L30" s="23"/>
      <c r="M30" s="24"/>
      <c r="N30" s="23"/>
      <c r="O30" s="50" t="n">
        <v>16.8898775077161</v>
      </c>
      <c r="P30" s="35" t="n">
        <v>20.3294131188272</v>
      </c>
      <c r="Q30" s="36" t="n">
        <v>1.69411775990226</v>
      </c>
      <c r="R30" s="37" t="n">
        <f aca="false">+E30*P30</f>
        <v>212747511.582657</v>
      </c>
      <c r="S30" s="25" t="n">
        <f aca="false">+R30*D30</f>
        <v>5956930324.31441</v>
      </c>
      <c r="T30" s="25" t="n">
        <f aca="false">+R30/12</f>
        <v>17728959.2985548</v>
      </c>
      <c r="U30" s="25" t="n">
        <f aca="false">+T30*D30</f>
        <v>496410860.359534</v>
      </c>
      <c r="V30" s="28"/>
      <c r="W30" s="27" t="str">
        <f aca="false">CONCATENATE(A30,C30)</f>
        <v>PROFESIONAL ESPECIALIZADO23</v>
      </c>
      <c r="X30" s="39" t="n">
        <f aca="false">+R30</f>
        <v>212747511.582657</v>
      </c>
      <c r="Y30" s="39" t="n">
        <f aca="false">+E30</f>
        <v>10465010</v>
      </c>
    </row>
    <row r="31" customFormat="false" ht="12.65" hidden="false" customHeight="false" outlineLevel="0" collapsed="false">
      <c r="A31" s="40" t="s">
        <v>43</v>
      </c>
      <c r="B31" s="31" t="n">
        <v>2028</v>
      </c>
      <c r="C31" s="31" t="n">
        <v>21</v>
      </c>
      <c r="D31" s="33" t="n">
        <f aca="false">80-1</f>
        <v>79</v>
      </c>
      <c r="E31" s="34" t="n">
        <v>9208704</v>
      </c>
      <c r="F31" s="25"/>
      <c r="G31" s="25" t="n">
        <f aca="false">ROUND((E31)*1.1088,0)</f>
        <v>10210611</v>
      </c>
      <c r="H31" s="22"/>
      <c r="I31" s="22"/>
      <c r="J31" s="25" t="n">
        <f aca="false">ROUND(E31*D31,0)</f>
        <v>727487616</v>
      </c>
      <c r="K31" s="25" t="n">
        <f aca="false">+E31*D31</f>
        <v>727487616</v>
      </c>
      <c r="L31" s="23"/>
      <c r="M31" s="24"/>
      <c r="N31" s="23"/>
      <c r="O31" s="50" t="n">
        <v>16.8898775077161</v>
      </c>
      <c r="P31" s="35" t="n">
        <v>20.3294131188272</v>
      </c>
      <c r="Q31" s="36" t="n">
        <v>1.69411775990226</v>
      </c>
      <c r="R31" s="37" t="n">
        <f aca="false">+E31*P31</f>
        <v>187207547.904996</v>
      </c>
      <c r="S31" s="25" t="n">
        <f aca="false">+R31*D31</f>
        <v>14789396284.4947</v>
      </c>
      <c r="T31" s="25" t="n">
        <f aca="false">+R31/12</f>
        <v>15600628.992083</v>
      </c>
      <c r="U31" s="25" t="n">
        <f aca="false">+T31*D31</f>
        <v>1232449690.37456</v>
      </c>
      <c r="V31" s="28"/>
      <c r="W31" s="27" t="str">
        <f aca="false">CONCATENATE(A31,C31)</f>
        <v>PROFESIONAL ESPECIALIZADO21</v>
      </c>
      <c r="X31" s="39" t="n">
        <f aca="false">+R31</f>
        <v>187207547.904996</v>
      </c>
      <c r="Y31" s="39" t="n">
        <f aca="false">+E31</f>
        <v>9208704</v>
      </c>
    </row>
    <row r="32" customFormat="false" ht="12.65" hidden="false" customHeight="false" outlineLevel="0" collapsed="false">
      <c r="A32" s="40" t="s">
        <v>43</v>
      </c>
      <c r="B32" s="31" t="n">
        <v>2028</v>
      </c>
      <c r="C32" s="31" t="n">
        <v>19</v>
      </c>
      <c r="D32" s="33" t="n">
        <f aca="false">181+270+123+174-157</f>
        <v>591</v>
      </c>
      <c r="E32" s="34" t="n">
        <v>8026091</v>
      </c>
      <c r="F32" s="25"/>
      <c r="G32" s="25" t="n">
        <f aca="false">ROUND((E32)*1.1088,0)</f>
        <v>8899330</v>
      </c>
      <c r="H32" s="25"/>
      <c r="I32" s="22"/>
      <c r="J32" s="25" t="n">
        <f aca="false">ROUND(E32*D32,0)</f>
        <v>4743419781</v>
      </c>
      <c r="K32" s="25" t="n">
        <f aca="false">+E32*D32</f>
        <v>4743419781</v>
      </c>
      <c r="L32" s="23"/>
      <c r="M32" s="24"/>
      <c r="N32" s="23"/>
      <c r="O32" s="50" t="n">
        <v>16.8898775077161</v>
      </c>
      <c r="P32" s="35" t="n">
        <v>20.3294131188272</v>
      </c>
      <c r="Q32" s="36" t="n">
        <v>1.69411775990226</v>
      </c>
      <c r="R32" s="37" t="n">
        <f aca="false">+E32*P32</f>
        <v>163165719.668301</v>
      </c>
      <c r="S32" s="25" t="n">
        <f aca="false">+R32*D32</f>
        <v>96430940323.9657</v>
      </c>
      <c r="T32" s="25" t="n">
        <f aca="false">+R32/12</f>
        <v>13597143.3056917</v>
      </c>
      <c r="U32" s="25" t="n">
        <f aca="false">+T32*D32</f>
        <v>8035911693.66381</v>
      </c>
      <c r="V32" s="28"/>
      <c r="W32" s="27" t="str">
        <f aca="false">CONCATENATE(A32,C32)</f>
        <v>PROFESIONAL ESPECIALIZADO19</v>
      </c>
      <c r="X32" s="39" t="n">
        <f aca="false">+R32</f>
        <v>163165719.668301</v>
      </c>
      <c r="Y32" s="39" t="n">
        <f aca="false">+E32</f>
        <v>8026091</v>
      </c>
    </row>
    <row r="33" customFormat="false" ht="12.65" hidden="false" customHeight="false" outlineLevel="0" collapsed="false">
      <c r="A33" s="40" t="s">
        <v>43</v>
      </c>
      <c r="B33" s="31" t="n">
        <v>2028</v>
      </c>
      <c r="C33" s="31" t="n">
        <v>18</v>
      </c>
      <c r="D33" s="33" t="n">
        <f aca="false">53-2</f>
        <v>51</v>
      </c>
      <c r="E33" s="34" t="n">
        <v>7461595</v>
      </c>
      <c r="F33" s="25"/>
      <c r="G33" s="25" t="n">
        <f aca="false">ROUND((E33)*1.1088,0)</f>
        <v>8273417</v>
      </c>
      <c r="H33" s="25"/>
      <c r="I33" s="22"/>
      <c r="J33" s="25" t="n">
        <f aca="false">ROUND(E33*D33,0)</f>
        <v>380541345</v>
      </c>
      <c r="K33" s="25" t="n">
        <f aca="false">+E33*D33</f>
        <v>380541345</v>
      </c>
      <c r="L33" s="23"/>
      <c r="M33" s="24"/>
      <c r="N33" s="23"/>
      <c r="O33" s="50" t="n">
        <v>16.8898775077161</v>
      </c>
      <c r="P33" s="35" t="n">
        <v>20.3294131188272</v>
      </c>
      <c r="Q33" s="36" t="n">
        <v>1.69411775990226</v>
      </c>
      <c r="R33" s="37" t="n">
        <f aca="false">+E33*P33</f>
        <v>151689847.280375</v>
      </c>
      <c r="S33" s="25" t="n">
        <f aca="false">+R33*D33</f>
        <v>7736182211.29913</v>
      </c>
      <c r="T33" s="25" t="n">
        <f aca="false">+R33/12</f>
        <v>12640820.6066979</v>
      </c>
      <c r="U33" s="25" t="n">
        <f aca="false">+T33*D33</f>
        <v>644681850.941595</v>
      </c>
      <c r="V33" s="28"/>
      <c r="W33" s="27" t="str">
        <f aca="false">CONCATENATE(A33,C33)</f>
        <v>PROFESIONAL ESPECIALIZADO18</v>
      </c>
      <c r="X33" s="39" t="n">
        <f aca="false">+R33</f>
        <v>151689847.280375</v>
      </c>
      <c r="Y33" s="39" t="n">
        <f aca="false">+E33</f>
        <v>7461595</v>
      </c>
    </row>
    <row r="34" customFormat="false" ht="12.65" hidden="false" customHeight="false" outlineLevel="0" collapsed="false">
      <c r="A34" s="40" t="s">
        <v>43</v>
      </c>
      <c r="B34" s="31" t="n">
        <v>2028</v>
      </c>
      <c r="C34" s="31" t="n">
        <v>17</v>
      </c>
      <c r="D34" s="33" t="n">
        <f aca="false">84-2+12</f>
        <v>94</v>
      </c>
      <c r="E34" s="34" t="n">
        <v>6928453</v>
      </c>
      <c r="F34" s="25"/>
      <c r="G34" s="25" t="n">
        <f aca="false">ROUND((E34)*1.1088,0)</f>
        <v>7682269</v>
      </c>
      <c r="H34" s="25"/>
      <c r="I34" s="22"/>
      <c r="J34" s="25" t="n">
        <f aca="false">ROUND(E34*D34,0)</f>
        <v>651274582</v>
      </c>
      <c r="K34" s="25" t="n">
        <f aca="false">+E34*D34</f>
        <v>651274582</v>
      </c>
      <c r="L34" s="51" t="n">
        <f aca="false">SUM(J29:J34)</f>
        <v>7100432340</v>
      </c>
      <c r="M34" s="44" t="n">
        <f aca="false">SUM(D29:D34)</f>
        <v>870</v>
      </c>
      <c r="N34" s="44" t="n">
        <f aca="false">+L34/M34</f>
        <v>8161416.48275862</v>
      </c>
      <c r="O34" s="50" t="n">
        <v>16.8898775077161</v>
      </c>
      <c r="P34" s="35" t="n">
        <v>20.3294131188272</v>
      </c>
      <c r="Q34" s="36" t="n">
        <v>1.69411775990226</v>
      </c>
      <c r="R34" s="37" t="n">
        <f aca="false">+E34*P34</f>
        <v>140851383.311377</v>
      </c>
      <c r="S34" s="25" t="n">
        <f aca="false">+R34*D34</f>
        <v>13240030031.2695</v>
      </c>
      <c r="T34" s="25" t="n">
        <f aca="false">+R34/12</f>
        <v>11737615.2759481</v>
      </c>
      <c r="U34" s="25" t="n">
        <f aca="false">+T34*D34</f>
        <v>1103335835.93912</v>
      </c>
      <c r="V34" s="28"/>
      <c r="W34" s="27" t="str">
        <f aca="false">CONCATENATE(A34,C34)</f>
        <v>PROFESIONAL ESPECIALIZADO17</v>
      </c>
      <c r="X34" s="39" t="n">
        <f aca="false">+R34</f>
        <v>140851383.311377</v>
      </c>
      <c r="Y34" s="39" t="n">
        <f aca="false">+E34</f>
        <v>6928453</v>
      </c>
    </row>
    <row r="35" customFormat="false" ht="12.65" hidden="false" customHeight="false" outlineLevel="0" collapsed="false">
      <c r="A35" s="40" t="s">
        <v>43</v>
      </c>
      <c r="B35" s="31" t="n">
        <v>2028</v>
      </c>
      <c r="C35" s="31" t="n">
        <v>16</v>
      </c>
      <c r="D35" s="33" t="n">
        <v>6</v>
      </c>
      <c r="E35" s="34" t="n">
        <v>6587097</v>
      </c>
      <c r="F35" s="25"/>
      <c r="G35" s="25" t="n">
        <f aca="false">ROUND((E35)*1.1088,0)</f>
        <v>7303773</v>
      </c>
      <c r="H35" s="25"/>
      <c r="I35" s="22"/>
      <c r="J35" s="25" t="n">
        <f aca="false">ROUND(E35*D35,0)</f>
        <v>39522582</v>
      </c>
      <c r="K35" s="25" t="n">
        <f aca="false">+E35*D35</f>
        <v>39522582</v>
      </c>
      <c r="L35" s="27"/>
      <c r="M35" s="52"/>
      <c r="N35" s="27"/>
      <c r="O35" s="50" t="n">
        <v>16.8898775077161</v>
      </c>
      <c r="P35" s="35" t="n">
        <v>20.3294131188272</v>
      </c>
      <c r="Q35" s="36" t="n">
        <v>1.69411775990226</v>
      </c>
      <c r="R35" s="26" t="n">
        <f aca="false">+E35*P35</f>
        <v>133911816.166787</v>
      </c>
      <c r="S35" s="25" t="n">
        <f aca="false">+R35*D35</f>
        <v>803470897.000722</v>
      </c>
      <c r="T35" s="25" t="n">
        <f aca="false">+R35/12</f>
        <v>11159318.0138989</v>
      </c>
      <c r="U35" s="25" t="n">
        <f aca="false">+T35*D35</f>
        <v>66955908.0833935</v>
      </c>
      <c r="V35" s="28"/>
      <c r="W35" s="27" t="str">
        <f aca="false">CONCATENATE(A35,C35)</f>
        <v>PROFESIONAL ESPECIALIZADO16</v>
      </c>
      <c r="X35" s="39" t="n">
        <f aca="false">+R35</f>
        <v>133911816.166787</v>
      </c>
      <c r="Y35" s="39" t="n">
        <f aca="false">+E35</f>
        <v>6587097</v>
      </c>
    </row>
    <row r="36" customFormat="false" ht="12.65" hidden="false" customHeight="false" outlineLevel="0" collapsed="false">
      <c r="A36" s="40" t="s">
        <v>43</v>
      </c>
      <c r="B36" s="31" t="n">
        <v>2028</v>
      </c>
      <c r="C36" s="31" t="n">
        <v>15</v>
      </c>
      <c r="D36" s="33" t="n">
        <f aca="false">133-2+7</f>
        <v>138</v>
      </c>
      <c r="E36" s="34" t="n">
        <v>6109678</v>
      </c>
      <c r="F36" s="25"/>
      <c r="G36" s="25" t="n">
        <f aca="false">ROUND((E36)*1.1088,0)</f>
        <v>6774411</v>
      </c>
      <c r="H36" s="25"/>
      <c r="I36" s="22"/>
      <c r="J36" s="25" t="n">
        <f aca="false">ROUND(E36*D36,0)</f>
        <v>843135564</v>
      </c>
      <c r="K36" s="25" t="n">
        <f aca="false">+E36*D36</f>
        <v>843135564</v>
      </c>
      <c r="L36" s="51"/>
      <c r="M36" s="53"/>
      <c r="N36" s="51"/>
      <c r="O36" s="50" t="n">
        <v>16.8898775077161</v>
      </c>
      <c r="P36" s="35" t="n">
        <v>20.3294131188272</v>
      </c>
      <c r="Q36" s="36" t="n">
        <v>1.69411775990226</v>
      </c>
      <c r="R36" s="37" t="n">
        <f aca="false">+E36*P36</f>
        <v>124206168.08501</v>
      </c>
      <c r="S36" s="25" t="n">
        <f aca="false">+R36*D36</f>
        <v>17140451195.7313</v>
      </c>
      <c r="T36" s="25" t="n">
        <f aca="false">+R36/12</f>
        <v>10350514.0070841</v>
      </c>
      <c r="U36" s="25" t="n">
        <f aca="false">+T36*D36</f>
        <v>1428370932.97761</v>
      </c>
      <c r="V36" s="28"/>
      <c r="W36" s="27" t="str">
        <f aca="false">CONCATENATE(A36,C36)</f>
        <v>PROFESIONAL ESPECIALIZADO15</v>
      </c>
      <c r="X36" s="39" t="n">
        <f aca="false">+R36</f>
        <v>124206168.08501</v>
      </c>
      <c r="Y36" s="39" t="n">
        <f aca="false">+E36</f>
        <v>6109678</v>
      </c>
    </row>
    <row r="37" customFormat="false" ht="12.65" hidden="false" customHeight="false" outlineLevel="0" collapsed="false">
      <c r="A37" s="40" t="s">
        <v>44</v>
      </c>
      <c r="B37" s="31" t="n">
        <v>2044</v>
      </c>
      <c r="C37" s="31" t="n">
        <v>11</v>
      </c>
      <c r="D37" s="33" t="n">
        <v>585</v>
      </c>
      <c r="E37" s="34" t="n">
        <v>4492340</v>
      </c>
      <c r="F37" s="25"/>
      <c r="G37" s="25" t="n">
        <f aca="false">ROUND((E37)*1.1088,0)</f>
        <v>4981107</v>
      </c>
      <c r="H37" s="25"/>
      <c r="I37" s="22"/>
      <c r="J37" s="25" t="n">
        <f aca="false">ROUND(E37*D37,0)</f>
        <v>2628018900</v>
      </c>
      <c r="K37" s="25" t="n">
        <f aca="false">+E37*D37</f>
        <v>2628018900</v>
      </c>
      <c r="L37" s="51"/>
      <c r="M37" s="53"/>
      <c r="N37" s="51"/>
      <c r="O37" s="50" t="n">
        <v>16.8898775077161</v>
      </c>
      <c r="P37" s="35" t="n">
        <v>20.3294131188272</v>
      </c>
      <c r="Q37" s="36" t="n">
        <v>1.69411775990226</v>
      </c>
      <c r="R37" s="37" t="n">
        <f aca="false">+E37*P37</f>
        <v>91326635.730232</v>
      </c>
      <c r="S37" s="25" t="n">
        <f aca="false">+R37*D37</f>
        <v>53426081902.1857</v>
      </c>
      <c r="T37" s="25" t="n">
        <f aca="false">+R37/12</f>
        <v>7610552.97751933</v>
      </c>
      <c r="U37" s="25" t="n">
        <f aca="false">+T37*D37</f>
        <v>4452173491.84881</v>
      </c>
      <c r="V37" s="28"/>
      <c r="W37" s="27" t="str">
        <f aca="false">CONCATENATE(A37,C37)</f>
        <v>PROFESIONAL UNIVERSITARIO11</v>
      </c>
      <c r="X37" s="39" t="n">
        <f aca="false">+R37</f>
        <v>91326635.730232</v>
      </c>
      <c r="Y37" s="39" t="n">
        <f aca="false">+E37</f>
        <v>4492340</v>
      </c>
    </row>
    <row r="38" customFormat="false" ht="12.65" hidden="false" customHeight="false" outlineLevel="0" collapsed="false">
      <c r="A38" s="40" t="s">
        <v>44</v>
      </c>
      <c r="B38" s="31" t="n">
        <v>2044</v>
      </c>
      <c r="C38" s="31" t="n">
        <v>10</v>
      </c>
      <c r="D38" s="33" t="n">
        <f aca="false">587-8+49</f>
        <v>628</v>
      </c>
      <c r="E38" s="34" t="n">
        <v>4310846</v>
      </c>
      <c r="F38" s="25"/>
      <c r="G38" s="25" t="n">
        <f aca="false">ROUND((E38)*1.1088,0)</f>
        <v>4779866</v>
      </c>
      <c r="H38" s="25"/>
      <c r="I38" s="22"/>
      <c r="J38" s="25" t="n">
        <f aca="false">ROUND(E38*D38,0)</f>
        <v>2707211288</v>
      </c>
      <c r="K38" s="25" t="n">
        <f aca="false">+E38*D38</f>
        <v>2707211288</v>
      </c>
      <c r="L38" s="51"/>
      <c r="M38" s="53"/>
      <c r="N38" s="51"/>
      <c r="O38" s="50" t="n">
        <v>16.8898775077161</v>
      </c>
      <c r="P38" s="35" t="n">
        <v>20.3294131188272</v>
      </c>
      <c r="Q38" s="36" t="n">
        <v>1.69411775990226</v>
      </c>
      <c r="R38" s="37" t="n">
        <f aca="false">+E38*P38</f>
        <v>87636969.2256436</v>
      </c>
      <c r="S38" s="25" t="n">
        <f aca="false">+R38*D38</f>
        <v>55036016673.7042</v>
      </c>
      <c r="T38" s="25" t="n">
        <f aca="false">+R38/12</f>
        <v>7303080.76880363</v>
      </c>
      <c r="U38" s="25" t="n">
        <f aca="false">+T38*D38</f>
        <v>4586334722.80868</v>
      </c>
      <c r="V38" s="28"/>
      <c r="W38" s="27" t="str">
        <f aca="false">CONCATENATE(A38,C38)</f>
        <v>PROFESIONAL UNIVERSITARIO10</v>
      </c>
      <c r="X38" s="39" t="n">
        <f aca="false">+R38</f>
        <v>87636969.2256436</v>
      </c>
      <c r="Y38" s="39" t="n">
        <f aca="false">+E38</f>
        <v>4310846</v>
      </c>
    </row>
    <row r="39" customFormat="false" ht="12.65" hidden="false" customHeight="false" outlineLevel="0" collapsed="false">
      <c r="A39" s="40" t="s">
        <v>44</v>
      </c>
      <c r="B39" s="31" t="n">
        <v>2044</v>
      </c>
      <c r="C39" s="31" t="n">
        <v>9</v>
      </c>
      <c r="D39" s="33" t="n">
        <f aca="false">229-2+2801</f>
        <v>3028</v>
      </c>
      <c r="E39" s="34" t="n">
        <v>4168604</v>
      </c>
      <c r="F39" s="25"/>
      <c r="G39" s="25" t="n">
        <f aca="false">ROUND((E39)*1.1088,0)</f>
        <v>4622148</v>
      </c>
      <c r="H39" s="25"/>
      <c r="I39" s="22"/>
      <c r="J39" s="25" t="n">
        <f aca="false">ROUND(E39*D39,0)</f>
        <v>12622532912</v>
      </c>
      <c r="K39" s="25" t="n">
        <f aca="false">+E39*D39</f>
        <v>12622532912</v>
      </c>
      <c r="L39" s="51" t="n">
        <f aca="false">SUM(J36:J39)</f>
        <v>18800898664</v>
      </c>
      <c r="M39" s="44" t="n">
        <f aca="false">SUM(D36:D39)</f>
        <v>4379</v>
      </c>
      <c r="N39" s="44" t="n">
        <f aca="false">+L39/M39</f>
        <v>4293422.8508792</v>
      </c>
      <c r="O39" s="50" t="n">
        <v>16.8898775077161</v>
      </c>
      <c r="P39" s="35" t="n">
        <v>20.3294131188272</v>
      </c>
      <c r="Q39" s="36" t="n">
        <v>1.69411775990226</v>
      </c>
      <c r="R39" s="37" t="n">
        <f aca="false">+E39*P39</f>
        <v>84745272.8447954</v>
      </c>
      <c r="S39" s="25" t="n">
        <f aca="false">+R39*D39</f>
        <v>256608686174.04</v>
      </c>
      <c r="T39" s="25" t="n">
        <f aca="false">+R39/12</f>
        <v>7062106.07039962</v>
      </c>
      <c r="U39" s="25" t="n">
        <f aca="false">+T39*D39</f>
        <v>21384057181.17</v>
      </c>
      <c r="V39" s="28"/>
      <c r="W39" s="27" t="str">
        <f aca="false">CONCATENATE(A39,C39)</f>
        <v>PROFESIONAL UNIVERSITARIO9</v>
      </c>
      <c r="X39" s="39" t="n">
        <f aca="false">+R39</f>
        <v>84745272.8447954</v>
      </c>
      <c r="Y39" s="39" t="n">
        <f aca="false">+E39</f>
        <v>4168604</v>
      </c>
    </row>
    <row r="40" customFormat="false" ht="12.65" hidden="false" customHeight="false" outlineLevel="0" collapsed="false">
      <c r="A40" s="40" t="s">
        <v>44</v>
      </c>
      <c r="B40" s="31" t="n">
        <v>2044</v>
      </c>
      <c r="C40" s="31" t="n">
        <v>3</v>
      </c>
      <c r="D40" s="33" t="n">
        <v>373</v>
      </c>
      <c r="E40" s="34" t="n">
        <v>3147287</v>
      </c>
      <c r="F40" s="25"/>
      <c r="G40" s="25" t="n">
        <f aca="false">ROUND((E40)*1.1088,0)</f>
        <v>3489712</v>
      </c>
      <c r="H40" s="25"/>
      <c r="I40" s="22"/>
      <c r="J40" s="25" t="n">
        <f aca="false">ROUND(E40*D40,0)</f>
        <v>1173938051</v>
      </c>
      <c r="K40" s="25" t="n">
        <f aca="false">+E40*D40</f>
        <v>1173938051</v>
      </c>
      <c r="L40" s="27"/>
      <c r="M40" s="52"/>
      <c r="N40" s="27"/>
      <c r="O40" s="50" t="n">
        <v>16.8898775077161</v>
      </c>
      <c r="P40" s="35" t="n">
        <v>20.3294131188272</v>
      </c>
      <c r="Q40" s="36" t="n">
        <v>1.69411775990226</v>
      </c>
      <c r="R40" s="26" t="n">
        <f aca="false">+E40*P40</f>
        <v>63982497.6265142</v>
      </c>
      <c r="S40" s="25" t="n">
        <f aca="false">+R40*D40</f>
        <v>23865471614.6898</v>
      </c>
      <c r="T40" s="25" t="n">
        <f aca="false">+R40/12</f>
        <v>5331874.80220952</v>
      </c>
      <c r="U40" s="25" t="n">
        <f aca="false">+T40*D40</f>
        <v>1988789301.22415</v>
      </c>
      <c r="V40" s="28"/>
      <c r="W40" s="27" t="str">
        <f aca="false">CONCATENATE(A40,C40)</f>
        <v>PROFESIONAL UNIVERSITARIO3</v>
      </c>
      <c r="X40" s="39" t="n">
        <f aca="false">+R40</f>
        <v>63982497.6265142</v>
      </c>
      <c r="Y40" s="39" t="n">
        <f aca="false">+E40</f>
        <v>3147287</v>
      </c>
    </row>
    <row r="41" customFormat="false" ht="12.65" hidden="false" customHeight="false" outlineLevel="0" collapsed="false">
      <c r="A41" s="31" t="s">
        <v>45</v>
      </c>
      <c r="B41" s="31" t="n">
        <v>2125</v>
      </c>
      <c r="C41" s="31" t="n">
        <v>19</v>
      </c>
      <c r="D41" s="33" t="n">
        <f aca="false">1089+328</f>
        <v>1417</v>
      </c>
      <c r="E41" s="34" t="n">
        <v>8026091</v>
      </c>
      <c r="F41" s="25"/>
      <c r="G41" s="25" t="n">
        <f aca="false">ROUND((E41)*1.1088,0)</f>
        <v>8899330</v>
      </c>
      <c r="H41" s="25"/>
      <c r="I41" s="22"/>
      <c r="J41" s="25" t="n">
        <f aca="false">ROUND(E41*D41,0)</f>
        <v>11372970947</v>
      </c>
      <c r="K41" s="25" t="n">
        <f aca="false">+E41*D41</f>
        <v>11372970947</v>
      </c>
      <c r="L41" s="51"/>
      <c r="M41" s="53"/>
      <c r="N41" s="51"/>
      <c r="O41" s="50" t="n">
        <v>16.8898775077161</v>
      </c>
      <c r="P41" s="35" t="n">
        <v>20.3294131188272</v>
      </c>
      <c r="Q41" s="36" t="n">
        <v>1.69411775990226</v>
      </c>
      <c r="R41" s="37" t="n">
        <f aca="false">+E41*P41</f>
        <v>163165719.668301</v>
      </c>
      <c r="S41" s="25" t="n">
        <f aca="false">+R41*D41</f>
        <v>231205824769.982</v>
      </c>
      <c r="T41" s="25" t="n">
        <f aca="false">+R41/12</f>
        <v>13597143.3056917</v>
      </c>
      <c r="U41" s="25" t="n">
        <f aca="false">+T41*D41</f>
        <v>19267152064.1652</v>
      </c>
      <c r="V41" s="20"/>
      <c r="W41" s="27" t="str">
        <f aca="false">CONCATENATE(A41,C41)</f>
        <v>DEFENSOR DE FAMILIA19</v>
      </c>
      <c r="X41" s="39" t="n">
        <f aca="false">+R41</f>
        <v>163165719.668301</v>
      </c>
      <c r="Y41" s="39" t="n">
        <f aca="false">+E41</f>
        <v>8026091</v>
      </c>
    </row>
    <row r="42" customFormat="false" ht="12.65" hidden="false" customHeight="false" outlineLevel="0" collapsed="false">
      <c r="A42" s="41" t="s">
        <v>38</v>
      </c>
      <c r="B42" s="42"/>
      <c r="C42" s="42"/>
      <c r="D42" s="20" t="n">
        <f aca="false">SUM(D29:D41)</f>
        <v>7045</v>
      </c>
      <c r="E42" s="26"/>
      <c r="F42" s="25"/>
      <c r="G42" s="25"/>
      <c r="H42" s="20"/>
      <c r="I42" s="27"/>
      <c r="J42" s="20" t="n">
        <f aca="false">SUM(J29:J41)</f>
        <v>38487762584</v>
      </c>
      <c r="K42" s="43" t="n">
        <f aca="false">SUM(K29:K41)</f>
        <v>38487762584</v>
      </c>
      <c r="L42" s="51" t="n">
        <f aca="false">+J42/D42</f>
        <v>5463131.66557842</v>
      </c>
      <c r="M42" s="24"/>
      <c r="N42" s="23"/>
      <c r="O42" s="47"/>
      <c r="P42" s="48"/>
      <c r="Q42" s="47"/>
      <c r="R42" s="37" t="n">
        <f aca="false">+E42*P42</f>
        <v>0</v>
      </c>
      <c r="S42" s="20" t="n">
        <f aca="false">SUM(S29:S41)</f>
        <v>782433625589.475</v>
      </c>
      <c r="T42" s="25"/>
      <c r="U42" s="20" t="n">
        <f aca="false">SUM(U29:U41)</f>
        <v>65202802132.4562</v>
      </c>
      <c r="V42" s="20" t="n">
        <f aca="false">+U42/D42</f>
        <v>9255188.37934084</v>
      </c>
      <c r="W42" s="27" t="str">
        <f aca="false">CONCATENATE(A42,C42)</f>
        <v>Subtotal</v>
      </c>
      <c r="X42" s="39" t="n">
        <f aca="false">+R42</f>
        <v>0</v>
      </c>
      <c r="Y42" s="39" t="n">
        <f aca="false">+E42</f>
        <v>0</v>
      </c>
    </row>
    <row r="43" customFormat="false" ht="12.65" hidden="false" customHeight="false" outlineLevel="0" collapsed="false">
      <c r="A43" s="41" t="s">
        <v>46</v>
      </c>
      <c r="B43" s="42"/>
      <c r="C43" s="42"/>
      <c r="D43" s="20"/>
      <c r="E43" s="26"/>
      <c r="F43" s="25"/>
      <c r="G43" s="25"/>
      <c r="H43" s="27"/>
      <c r="I43" s="27"/>
      <c r="J43" s="27"/>
      <c r="K43" s="25"/>
      <c r="L43" s="23"/>
      <c r="M43" s="24"/>
      <c r="N43" s="23"/>
      <c r="O43" s="45"/>
      <c r="P43" s="46"/>
      <c r="Q43" s="45"/>
      <c r="R43" s="37" t="n">
        <f aca="false">+E43*P43</f>
        <v>0</v>
      </c>
      <c r="S43" s="25"/>
      <c r="T43" s="25"/>
      <c r="U43" s="25"/>
      <c r="V43" s="28"/>
      <c r="W43" s="27" t="str">
        <f aca="false">CONCATENATE(A43,C43)</f>
        <v>Nivel Técnico</v>
      </c>
      <c r="X43" s="39" t="n">
        <f aca="false">+R43</f>
        <v>0</v>
      </c>
      <c r="Y43" s="39" t="n">
        <f aca="false">+E43</f>
        <v>0</v>
      </c>
    </row>
    <row r="44" customFormat="false" ht="12.65" hidden="false" customHeight="false" outlineLevel="0" collapsed="false">
      <c r="A44" s="40" t="s">
        <v>47</v>
      </c>
      <c r="B44" s="31" t="n">
        <v>3124</v>
      </c>
      <c r="C44" s="31" t="n">
        <v>18</v>
      </c>
      <c r="D44" s="33" t="n">
        <v>111</v>
      </c>
      <c r="E44" s="34" t="n">
        <v>4183337</v>
      </c>
      <c r="F44" s="25"/>
      <c r="G44" s="25" t="n">
        <f aca="false">ROUND((E44)*1.1088,0)</f>
        <v>4638484</v>
      </c>
      <c r="H44" s="25"/>
      <c r="I44" s="22"/>
      <c r="J44" s="25" t="n">
        <f aca="false">ROUND(E44*D44,0)</f>
        <v>464350407</v>
      </c>
      <c r="K44" s="25" t="n">
        <f aca="false">+E44*D44</f>
        <v>464350407</v>
      </c>
      <c r="L44" s="23"/>
      <c r="M44" s="24"/>
      <c r="N44" s="23"/>
      <c r="O44" s="50" t="n">
        <v>16.8898775077161</v>
      </c>
      <c r="P44" s="35" t="n">
        <v>20.3294131188272</v>
      </c>
      <c r="Q44" s="54" t="n">
        <v>1.69527062718621</v>
      </c>
      <c r="R44" s="37" t="n">
        <f aca="false">+E44*P44</f>
        <v>85044786.0882751</v>
      </c>
      <c r="S44" s="25" t="n">
        <f aca="false">+R44*D44</f>
        <v>9439971255.79853</v>
      </c>
      <c r="T44" s="25" t="n">
        <f aca="false">+R44/12</f>
        <v>7087065.50735626</v>
      </c>
      <c r="U44" s="25" t="n">
        <f aca="false">+T44*D44</f>
        <v>786664271.316544</v>
      </c>
      <c r="V44" s="28"/>
      <c r="W44" s="27" t="str">
        <f aca="false">CONCATENATE(A44,C44)</f>
        <v>TECNICO ADMINISTRATIVO18</v>
      </c>
      <c r="X44" s="39" t="n">
        <f aca="false">+R44</f>
        <v>85044786.0882751</v>
      </c>
      <c r="Y44" s="39" t="n">
        <f aca="false">+E44</f>
        <v>4183337</v>
      </c>
    </row>
    <row r="45" customFormat="false" ht="12.65" hidden="false" customHeight="false" outlineLevel="0" collapsed="false">
      <c r="A45" s="40" t="s">
        <v>47</v>
      </c>
      <c r="B45" s="31" t="n">
        <v>3124</v>
      </c>
      <c r="C45" s="31" t="n">
        <v>17</v>
      </c>
      <c r="D45" s="33" t="n">
        <v>82</v>
      </c>
      <c r="E45" s="34" t="n">
        <v>3806786</v>
      </c>
      <c r="F45" s="25"/>
      <c r="G45" s="25" t="n">
        <f aca="false">ROUND((E45)*1.1088,0)</f>
        <v>4220964</v>
      </c>
      <c r="H45" s="25"/>
      <c r="I45" s="22"/>
      <c r="J45" s="25" t="n">
        <f aca="false">ROUND(E45*D45,0)</f>
        <v>312156452</v>
      </c>
      <c r="K45" s="25" t="n">
        <f aca="false">+E45*D45</f>
        <v>312156452</v>
      </c>
      <c r="L45" s="23"/>
      <c r="M45" s="24"/>
      <c r="N45" s="23"/>
      <c r="O45" s="50" t="n">
        <v>16.8898775077161</v>
      </c>
      <c r="P45" s="35" t="n">
        <v>20.3294131188272</v>
      </c>
      <c r="Q45" s="54" t="n">
        <v>1.69527062718621</v>
      </c>
      <c r="R45" s="37" t="n">
        <f aca="false">+E45*P45</f>
        <v>77389725.2489676</v>
      </c>
      <c r="S45" s="25" t="n">
        <f aca="false">+R45*D45</f>
        <v>6345957470.41534</v>
      </c>
      <c r="T45" s="25" t="n">
        <f aca="false">+R45/12</f>
        <v>6449143.7707473</v>
      </c>
      <c r="U45" s="25" t="n">
        <f aca="false">+T45*D45</f>
        <v>528829789.201278</v>
      </c>
      <c r="V45" s="28"/>
      <c r="W45" s="27" t="str">
        <f aca="false">CONCATENATE(A45,C45)</f>
        <v>TECNICO ADMINISTRATIVO17</v>
      </c>
      <c r="X45" s="39" t="n">
        <f aca="false">+R45</f>
        <v>77389725.2489676</v>
      </c>
      <c r="Y45" s="39" t="n">
        <f aca="false">+E45</f>
        <v>3806786</v>
      </c>
    </row>
    <row r="46" customFormat="false" ht="12.65" hidden="false" customHeight="false" outlineLevel="0" collapsed="false">
      <c r="A46" s="40" t="s">
        <v>47</v>
      </c>
      <c r="B46" s="31" t="n">
        <v>3124</v>
      </c>
      <c r="C46" s="31" t="n">
        <v>16</v>
      </c>
      <c r="D46" s="33" t="n">
        <v>13</v>
      </c>
      <c r="E46" s="34" t="n">
        <v>3556004</v>
      </c>
      <c r="F46" s="25"/>
      <c r="G46" s="25" t="n">
        <f aca="false">ROUND((E46)*1.1088,0)</f>
        <v>3942897</v>
      </c>
      <c r="H46" s="25"/>
      <c r="I46" s="22"/>
      <c r="J46" s="25" t="n">
        <f aca="false">ROUND(E46*D46,0)</f>
        <v>46228052</v>
      </c>
      <c r="K46" s="25" t="n">
        <f aca="false">+E46*D46</f>
        <v>46228052</v>
      </c>
      <c r="L46" s="23"/>
      <c r="M46" s="24"/>
      <c r="N46" s="23"/>
      <c r="O46" s="50" t="n">
        <v>16.8898775077161</v>
      </c>
      <c r="P46" s="35" t="n">
        <v>20.3294131188272</v>
      </c>
      <c r="Q46" s="54" t="n">
        <v>1.69527062718621</v>
      </c>
      <c r="R46" s="37" t="n">
        <f aca="false">+E46*P46</f>
        <v>72291474.3682019</v>
      </c>
      <c r="S46" s="25" t="n">
        <f aca="false">+R46*D46</f>
        <v>939789166.786624</v>
      </c>
      <c r="T46" s="25" t="n">
        <f aca="false">+R46/12</f>
        <v>6024289.53068349</v>
      </c>
      <c r="U46" s="25" t="n">
        <f aca="false">+T46*D46</f>
        <v>78315763.8988854</v>
      </c>
      <c r="V46" s="28"/>
      <c r="W46" s="27" t="str">
        <f aca="false">CONCATENATE(A46,C46)</f>
        <v>TECNICO ADMINISTRATIVO16</v>
      </c>
      <c r="X46" s="39" t="n">
        <f aca="false">+R46</f>
        <v>72291474.3682019</v>
      </c>
      <c r="Y46" s="39" t="n">
        <f aca="false">+E46</f>
        <v>3556004</v>
      </c>
    </row>
    <row r="47" customFormat="false" ht="12.65" hidden="false" customHeight="false" outlineLevel="0" collapsed="false">
      <c r="A47" s="40" t="s">
        <v>47</v>
      </c>
      <c r="B47" s="31" t="n">
        <v>3124</v>
      </c>
      <c r="C47" s="31" t="n">
        <v>15</v>
      </c>
      <c r="D47" s="33" t="n">
        <v>98</v>
      </c>
      <c r="E47" s="34" t="n">
        <v>3147287</v>
      </c>
      <c r="F47" s="25"/>
      <c r="G47" s="25" t="n">
        <f aca="false">ROUND((E47)*1.1088,0)</f>
        <v>3489712</v>
      </c>
      <c r="H47" s="25"/>
      <c r="I47" s="22"/>
      <c r="J47" s="25" t="n">
        <f aca="false">ROUND(E47*D47,0)</f>
        <v>308434126</v>
      </c>
      <c r="K47" s="25" t="n">
        <f aca="false">+E47*D47</f>
        <v>308434126</v>
      </c>
      <c r="L47" s="23"/>
      <c r="M47" s="24"/>
      <c r="N47" s="23"/>
      <c r="O47" s="50" t="n">
        <v>16.8898775077161</v>
      </c>
      <c r="P47" s="35" t="n">
        <v>20.3294131188272</v>
      </c>
      <c r="Q47" s="54" t="n">
        <v>1.69527062718621</v>
      </c>
      <c r="R47" s="37" t="n">
        <f aca="false">+E47*P47</f>
        <v>63982497.6265142</v>
      </c>
      <c r="S47" s="25" t="n">
        <f aca="false">+R47*D47</f>
        <v>6270284767.39839</v>
      </c>
      <c r="T47" s="25" t="n">
        <f aca="false">+R47/12</f>
        <v>5331874.80220952</v>
      </c>
      <c r="U47" s="25" t="n">
        <f aca="false">+T47*D47</f>
        <v>522523730.616533</v>
      </c>
      <c r="V47" s="28"/>
      <c r="W47" s="27" t="str">
        <f aca="false">CONCATENATE(A47,C47)</f>
        <v>TECNICO ADMINISTRATIVO15</v>
      </c>
      <c r="X47" s="39" t="n">
        <f aca="false">+R47</f>
        <v>63982497.6265142</v>
      </c>
      <c r="Y47" s="39" t="n">
        <f aca="false">+E47</f>
        <v>3147287</v>
      </c>
    </row>
    <row r="48" customFormat="false" ht="12.65" hidden="false" customHeight="false" outlineLevel="0" collapsed="false">
      <c r="A48" s="40" t="s">
        <v>47</v>
      </c>
      <c r="B48" s="31" t="n">
        <v>3124</v>
      </c>
      <c r="C48" s="31" t="n">
        <v>14</v>
      </c>
      <c r="D48" s="33" t="n">
        <v>145</v>
      </c>
      <c r="E48" s="34" t="n">
        <v>3011402</v>
      </c>
      <c r="F48" s="25"/>
      <c r="G48" s="25" t="n">
        <f aca="false">ROUND((E48)*1.1088,0)</f>
        <v>3339043</v>
      </c>
      <c r="H48" s="25"/>
      <c r="I48" s="22"/>
      <c r="J48" s="25" t="n">
        <f aca="false">ROUND(E48*D48,0)</f>
        <v>436653290</v>
      </c>
      <c r="K48" s="25" t="n">
        <f aca="false">+E48*D48</f>
        <v>436653290</v>
      </c>
      <c r="L48" s="23"/>
      <c r="M48" s="24"/>
      <c r="N48" s="23"/>
      <c r="O48" s="50" t="n">
        <v>16.8898775077161</v>
      </c>
      <c r="P48" s="35" t="n">
        <v>20.3294131188272</v>
      </c>
      <c r="Q48" s="54" t="n">
        <v>1.69527062718621</v>
      </c>
      <c r="R48" s="37" t="n">
        <f aca="false">+E48*P48</f>
        <v>61220035.3248624</v>
      </c>
      <c r="S48" s="25" t="n">
        <f aca="false">+R48*D48</f>
        <v>8876905122.10504</v>
      </c>
      <c r="T48" s="25" t="n">
        <f aca="false">+R48/12</f>
        <v>5101669.6104052</v>
      </c>
      <c r="U48" s="25" t="n">
        <f aca="false">+T48*D48</f>
        <v>739742093.508754</v>
      </c>
      <c r="V48" s="28"/>
      <c r="W48" s="27" t="str">
        <f aca="false">CONCATENATE(A48,C48)</f>
        <v>TECNICO ADMINISTRATIVO14</v>
      </c>
      <c r="X48" s="39" t="n">
        <f aca="false">+R48</f>
        <v>61220035.3248624</v>
      </c>
      <c r="Y48" s="39" t="n">
        <f aca="false">+E48</f>
        <v>3011402</v>
      </c>
    </row>
    <row r="49" customFormat="false" ht="12.65" hidden="false" customHeight="false" outlineLevel="0" collapsed="false">
      <c r="A49" s="40" t="s">
        <v>47</v>
      </c>
      <c r="B49" s="31" t="n">
        <v>3124</v>
      </c>
      <c r="C49" s="31" t="n">
        <v>13</v>
      </c>
      <c r="D49" s="33" t="n">
        <v>286</v>
      </c>
      <c r="E49" s="34" t="n">
        <v>2905284</v>
      </c>
      <c r="F49" s="25"/>
      <c r="G49" s="25" t="n">
        <f aca="false">ROUND((E49)*1.1088,0)</f>
        <v>3221379</v>
      </c>
      <c r="H49" s="25"/>
      <c r="I49" s="22"/>
      <c r="J49" s="25" t="n">
        <f aca="false">ROUND(E49*D49,0)</f>
        <v>830911224</v>
      </c>
      <c r="K49" s="25" t="n">
        <f aca="false">+E49*D49</f>
        <v>830911224</v>
      </c>
      <c r="L49" s="23"/>
      <c r="M49" s="24"/>
      <c r="N49" s="23"/>
      <c r="O49" s="50" t="n">
        <v>17.7</v>
      </c>
      <c r="P49" s="50" t="n">
        <v>21.2165624292292</v>
      </c>
      <c r="Q49" s="54" t="n">
        <v>1.76677365212938</v>
      </c>
      <c r="R49" s="37" t="n">
        <f aca="false">+E49*P49</f>
        <v>61640139.3606408</v>
      </c>
      <c r="S49" s="25" t="n">
        <f aca="false">+R49*D49</f>
        <v>17629079857.1433</v>
      </c>
      <c r="T49" s="25" t="n">
        <f aca="false">+R49/12</f>
        <v>5136678.2800534</v>
      </c>
      <c r="U49" s="25" t="n">
        <f aca="false">+T49*D49</f>
        <v>1469089988.09527</v>
      </c>
      <c r="V49" s="28"/>
      <c r="W49" s="27" t="str">
        <f aca="false">CONCATENATE(A49,C49)</f>
        <v>TECNICO ADMINISTRATIVO13</v>
      </c>
      <c r="X49" s="39" t="n">
        <f aca="false">+R49</f>
        <v>61640139.3606408</v>
      </c>
      <c r="Y49" s="39" t="n">
        <f aca="false">+E49</f>
        <v>2905284</v>
      </c>
    </row>
    <row r="50" customFormat="false" ht="12.65" hidden="false" customHeight="false" outlineLevel="0" collapsed="false">
      <c r="A50" s="40" t="s">
        <v>47</v>
      </c>
      <c r="B50" s="31" t="n">
        <v>3124</v>
      </c>
      <c r="C50" s="31" t="n">
        <v>12</v>
      </c>
      <c r="D50" s="33" t="n">
        <v>95</v>
      </c>
      <c r="E50" s="34" t="n">
        <v>2724337</v>
      </c>
      <c r="F50" s="25"/>
      <c r="G50" s="25" t="n">
        <f aca="false">ROUND((E50)*1.1088,0)</f>
        <v>3020745</v>
      </c>
      <c r="H50" s="25"/>
      <c r="I50" s="22"/>
      <c r="J50" s="25" t="n">
        <f aca="false">ROUND(E50*D50,0)</f>
        <v>258812015</v>
      </c>
      <c r="K50" s="25" t="n">
        <f aca="false">+E50*D50</f>
        <v>258812015</v>
      </c>
      <c r="L50" s="23"/>
      <c r="M50" s="24"/>
      <c r="N50" s="23"/>
      <c r="O50" s="50" t="n">
        <v>17.7365002169987</v>
      </c>
      <c r="P50" s="50" t="n">
        <v>21.2500498108606</v>
      </c>
      <c r="Q50" s="54" t="n">
        <v>1.76677365212938</v>
      </c>
      <c r="R50" s="37" t="n">
        <f aca="false">+E50*P50</f>
        <v>57892296.9515705</v>
      </c>
      <c r="S50" s="25" t="n">
        <f aca="false">+R50*D50</f>
        <v>5499768210.3992</v>
      </c>
      <c r="T50" s="25" t="n">
        <f aca="false">+R50/12</f>
        <v>4824358.07929754</v>
      </c>
      <c r="U50" s="25" t="n">
        <f aca="false">+T50*D50</f>
        <v>458314017.533267</v>
      </c>
      <c r="V50" s="28"/>
      <c r="W50" s="27" t="str">
        <f aca="false">CONCATENATE(A50,C50)</f>
        <v>TECNICO ADMINISTRATIVO12</v>
      </c>
      <c r="X50" s="39" t="n">
        <f aca="false">+R50</f>
        <v>57892296.9515705</v>
      </c>
      <c r="Y50" s="39" t="n">
        <f aca="false">+E50</f>
        <v>2724337</v>
      </c>
    </row>
    <row r="51" customFormat="false" ht="12.65" hidden="false" customHeight="false" outlineLevel="0" collapsed="false">
      <c r="A51" s="41" t="s">
        <v>38</v>
      </c>
      <c r="B51" s="42"/>
      <c r="C51" s="42"/>
      <c r="D51" s="20" t="n">
        <f aca="false">SUM(D44:D50)</f>
        <v>830</v>
      </c>
      <c r="E51" s="26"/>
      <c r="F51" s="25"/>
      <c r="G51" s="25"/>
      <c r="H51" s="27"/>
      <c r="I51" s="27"/>
      <c r="J51" s="20" t="n">
        <f aca="false">SUM(J44:J50)</f>
        <v>2657545566</v>
      </c>
      <c r="K51" s="43" t="n">
        <f aca="false">SUM(K44:K50)</f>
        <v>2657545566</v>
      </c>
      <c r="L51" s="51" t="n">
        <f aca="false">+J51/D51</f>
        <v>3201862.12771084</v>
      </c>
      <c r="M51" s="44" t="n">
        <f aca="false">+D51</f>
        <v>830</v>
      </c>
      <c r="N51" s="44" t="n">
        <f aca="false">+J51/D51</f>
        <v>3201862.12771084</v>
      </c>
      <c r="O51" s="47"/>
      <c r="P51" s="48"/>
      <c r="Q51" s="47"/>
      <c r="R51" s="37" t="n">
        <f aca="false">+E51*P51</f>
        <v>0</v>
      </c>
      <c r="S51" s="20" t="n">
        <f aca="false">SUM(S44:S50)</f>
        <v>55001755850.0464</v>
      </c>
      <c r="T51" s="25"/>
      <c r="U51" s="20" t="n">
        <f aca="false">SUM(U44:U50)</f>
        <v>4583479654.17053</v>
      </c>
      <c r="V51" s="20" t="n">
        <f aca="false">+U51/D51</f>
        <v>5522264.64357895</v>
      </c>
      <c r="W51" s="27" t="str">
        <f aca="false">CONCATENATE(A51,C51)</f>
        <v>Subtotal</v>
      </c>
      <c r="X51" s="39" t="n">
        <f aca="false">+R51</f>
        <v>0</v>
      </c>
      <c r="Y51" s="39" t="n">
        <f aca="false">+E51</f>
        <v>0</v>
      </c>
    </row>
    <row r="52" customFormat="false" ht="12.65" hidden="false" customHeight="false" outlineLevel="0" collapsed="false">
      <c r="A52" s="41" t="s">
        <v>48</v>
      </c>
      <c r="B52" s="42"/>
      <c r="C52" s="42"/>
      <c r="D52" s="20"/>
      <c r="E52" s="26"/>
      <c r="F52" s="25"/>
      <c r="G52" s="25"/>
      <c r="H52" s="27"/>
      <c r="I52" s="27"/>
      <c r="J52" s="27"/>
      <c r="K52" s="25"/>
      <c r="L52" s="23"/>
      <c r="M52" s="24"/>
      <c r="N52" s="23"/>
      <c r="O52" s="45"/>
      <c r="P52" s="46"/>
      <c r="Q52" s="45"/>
      <c r="R52" s="37" t="n">
        <f aca="false">+E52*P52</f>
        <v>0</v>
      </c>
      <c r="S52" s="25"/>
      <c r="T52" s="25"/>
      <c r="U52" s="25"/>
      <c r="V52" s="28"/>
      <c r="W52" s="27" t="str">
        <f aca="false">CONCATENATE(A52,C52)</f>
        <v>Nivel Asistencial</v>
      </c>
      <c r="X52" s="39" t="n">
        <f aca="false">+R52</f>
        <v>0</v>
      </c>
      <c r="Y52" s="39" t="n">
        <f aca="false">+E52</f>
        <v>0</v>
      </c>
    </row>
    <row r="53" customFormat="false" ht="12.65" hidden="false" customHeight="false" outlineLevel="0" collapsed="false">
      <c r="A53" s="40" t="s">
        <v>49</v>
      </c>
      <c r="B53" s="31" t="n">
        <v>4044</v>
      </c>
      <c r="C53" s="31" t="n">
        <v>23</v>
      </c>
      <c r="D53" s="33" t="n">
        <v>4</v>
      </c>
      <c r="E53" s="34" t="n">
        <v>3147287</v>
      </c>
      <c r="F53" s="25"/>
      <c r="G53" s="25" t="n">
        <f aca="false">ROUND((E53)*1.1088,0)</f>
        <v>3489712</v>
      </c>
      <c r="H53" s="25"/>
      <c r="I53" s="22"/>
      <c r="J53" s="25" t="n">
        <f aca="false">ROUND(E53*D53,0)</f>
        <v>12589148</v>
      </c>
      <c r="K53" s="25" t="n">
        <f aca="false">+E53*D53</f>
        <v>12589148</v>
      </c>
      <c r="L53" s="23"/>
      <c r="M53" s="24"/>
      <c r="N53" s="23"/>
      <c r="O53" s="50" t="n">
        <v>16.8898775077161</v>
      </c>
      <c r="P53" s="50" t="n">
        <v>20.3294131188272</v>
      </c>
      <c r="Q53" s="54" t="n">
        <v>1.69411775990226</v>
      </c>
      <c r="R53" s="37" t="n">
        <f aca="false">+E53*P53</f>
        <v>63982497.6265142</v>
      </c>
      <c r="S53" s="25" t="n">
        <f aca="false">+R53*D53</f>
        <v>255929990.506057</v>
      </c>
      <c r="T53" s="25" t="n">
        <f aca="false">+R53/12</f>
        <v>5331874.80220952</v>
      </c>
      <c r="U53" s="25" t="n">
        <f aca="false">+T53*D53</f>
        <v>21327499.2088381</v>
      </c>
      <c r="V53" s="28"/>
      <c r="W53" s="27" t="str">
        <f aca="false">CONCATENATE(A53,C53)</f>
        <v>AUXILIAR ADMINISTRATIVO23</v>
      </c>
      <c r="X53" s="39" t="n">
        <f aca="false">+R53</f>
        <v>63982497.6265142</v>
      </c>
      <c r="Y53" s="39" t="n">
        <f aca="false">+E53</f>
        <v>3147287</v>
      </c>
    </row>
    <row r="54" customFormat="false" ht="12.65" hidden="false" customHeight="false" outlineLevel="0" collapsed="false">
      <c r="A54" s="40" t="s">
        <v>49</v>
      </c>
      <c r="B54" s="31" t="n">
        <v>4044</v>
      </c>
      <c r="C54" s="31" t="n">
        <v>20</v>
      </c>
      <c r="D54" s="33" t="n">
        <f aca="false">5-1</f>
        <v>4</v>
      </c>
      <c r="E54" s="34" t="n">
        <v>2577517</v>
      </c>
      <c r="F54" s="25"/>
      <c r="G54" s="25" t="n">
        <f aca="false">ROUND((E54)*1.1088,0)</f>
        <v>2857951</v>
      </c>
      <c r="H54" s="25"/>
      <c r="I54" s="22"/>
      <c r="J54" s="25" t="n">
        <f aca="false">ROUND(E54*D54,0)</f>
        <v>10310068</v>
      </c>
      <c r="K54" s="25" t="n">
        <f aca="false">+E54*D54</f>
        <v>10310068</v>
      </c>
      <c r="L54" s="23"/>
      <c r="M54" s="24"/>
      <c r="N54" s="23"/>
      <c r="O54" s="50" t="n">
        <v>17.7217169404143</v>
      </c>
      <c r="P54" s="50" t="n">
        <v>21.2347276334749</v>
      </c>
      <c r="Q54" s="54" t="n">
        <v>1.76677365212938</v>
      </c>
      <c r="R54" s="37" t="n">
        <f aca="false">+E54*P54</f>
        <v>54732871.4656512</v>
      </c>
      <c r="S54" s="25" t="n">
        <f aca="false">+R54*D54</f>
        <v>218931485.862605</v>
      </c>
      <c r="T54" s="25" t="n">
        <f aca="false">+R54/12</f>
        <v>4561072.6221376</v>
      </c>
      <c r="U54" s="25" t="n">
        <f aca="false">+T54*D54</f>
        <v>18244290.4885504</v>
      </c>
      <c r="V54" s="28"/>
      <c r="W54" s="27" t="str">
        <f aca="false">CONCATENATE(A54,C54)</f>
        <v>AUXILIAR ADMINISTRATIVO20</v>
      </c>
      <c r="X54" s="39" t="n">
        <f aca="false">+R54</f>
        <v>54732871.4656512</v>
      </c>
      <c r="Y54" s="39" t="n">
        <f aca="false">+E54</f>
        <v>2577517</v>
      </c>
    </row>
    <row r="55" customFormat="false" ht="12.65" hidden="false" customHeight="false" outlineLevel="0" collapsed="false">
      <c r="A55" s="40" t="s">
        <v>49</v>
      </c>
      <c r="B55" s="31" t="n">
        <v>4044</v>
      </c>
      <c r="C55" s="31" t="n">
        <v>19</v>
      </c>
      <c r="D55" s="33" t="n">
        <v>54</v>
      </c>
      <c r="E55" s="34" t="n">
        <v>2499848</v>
      </c>
      <c r="F55" s="25"/>
      <c r="G55" s="25" t="n">
        <f aca="false">ROUND((E55)*1.1088,0)</f>
        <v>2771831</v>
      </c>
      <c r="H55" s="25"/>
      <c r="I55" s="22"/>
      <c r="J55" s="25" t="n">
        <f aca="false">ROUND(E55*D55,0)</f>
        <v>134991792</v>
      </c>
      <c r="K55" s="25" t="n">
        <f aca="false">+E55*D55</f>
        <v>134991792</v>
      </c>
      <c r="L55" s="23"/>
      <c r="M55" s="24"/>
      <c r="N55" s="23"/>
      <c r="O55" s="50" t="n">
        <v>18.6982381750671</v>
      </c>
      <c r="P55" s="50" t="n">
        <v>22.2203616139966</v>
      </c>
      <c r="Q55" s="54" t="n">
        <v>1.85324945026542</v>
      </c>
      <c r="R55" s="37" t="n">
        <f aca="false">+E55*P55</f>
        <v>55547526.5400261</v>
      </c>
      <c r="S55" s="25" t="n">
        <f aca="false">+R55*D55</f>
        <v>2999566433.16141</v>
      </c>
      <c r="T55" s="25" t="n">
        <f aca="false">+R55/12</f>
        <v>4628960.54500217</v>
      </c>
      <c r="U55" s="25" t="n">
        <f aca="false">+T55*D55</f>
        <v>249963869.430117</v>
      </c>
      <c r="V55" s="28"/>
      <c r="W55" s="27" t="str">
        <f aca="false">CONCATENATE(A55,C55)</f>
        <v>AUXILIAR ADMINISTRATIVO19</v>
      </c>
      <c r="X55" s="39" t="n">
        <f aca="false">+R55</f>
        <v>55547526.5400261</v>
      </c>
      <c r="Y55" s="39" t="n">
        <f aca="false">+E55</f>
        <v>2499848</v>
      </c>
    </row>
    <row r="56" customFormat="false" ht="12.65" hidden="false" customHeight="false" outlineLevel="0" collapsed="false">
      <c r="A56" s="40" t="s">
        <v>49</v>
      </c>
      <c r="B56" s="31" t="n">
        <v>4044</v>
      </c>
      <c r="C56" s="31" t="n">
        <v>18</v>
      </c>
      <c r="D56" s="33" t="n">
        <f aca="false">21-2</f>
        <v>19</v>
      </c>
      <c r="E56" s="34" t="n">
        <v>2436984</v>
      </c>
      <c r="F56" s="25"/>
      <c r="G56" s="25" t="n">
        <f aca="false">ROUND((E56)*1.1088,0)</f>
        <v>2702128</v>
      </c>
      <c r="H56" s="25"/>
      <c r="I56" s="22"/>
      <c r="J56" s="25" t="n">
        <f aca="false">ROUND(E56*D56,0)</f>
        <v>46302696</v>
      </c>
      <c r="K56" s="25" t="n">
        <f aca="false">+E56*D56</f>
        <v>46302696</v>
      </c>
      <c r="L56" s="23"/>
      <c r="M56" s="24"/>
      <c r="N56" s="23"/>
      <c r="O56" s="50" t="n">
        <v>18.7319409574807</v>
      </c>
      <c r="P56" s="50" t="n">
        <v>22.2549151105042</v>
      </c>
      <c r="Q56" s="54" t="n">
        <v>1.85324945026542</v>
      </c>
      <c r="R56" s="37" t="n">
        <f aca="false">+E56*P56</f>
        <v>54234872.0456571</v>
      </c>
      <c r="S56" s="25" t="n">
        <f aca="false">+R56*D56</f>
        <v>1030462568.86748</v>
      </c>
      <c r="T56" s="25" t="n">
        <f aca="false">+R56/12</f>
        <v>4519572.67047142</v>
      </c>
      <c r="U56" s="25" t="n">
        <f aca="false">+T56*D56</f>
        <v>85871880.7389571</v>
      </c>
      <c r="V56" s="28"/>
      <c r="W56" s="27" t="str">
        <f aca="false">CONCATENATE(A56,C56)</f>
        <v>AUXILIAR ADMINISTRATIVO18</v>
      </c>
      <c r="X56" s="39" t="n">
        <f aca="false">+R56</f>
        <v>54234872.0456571</v>
      </c>
      <c r="Y56" s="39" t="n">
        <f aca="false">+E56</f>
        <v>2436984</v>
      </c>
    </row>
    <row r="57" customFormat="false" ht="12.65" hidden="false" customHeight="false" outlineLevel="0" collapsed="false">
      <c r="A57" s="40" t="s">
        <v>49</v>
      </c>
      <c r="B57" s="31" t="n">
        <v>4044</v>
      </c>
      <c r="C57" s="31" t="n">
        <v>17</v>
      </c>
      <c r="D57" s="33" t="n">
        <f aca="false">90-7</f>
        <v>83</v>
      </c>
      <c r="E57" s="34" t="n">
        <v>2377998</v>
      </c>
      <c r="F57" s="25"/>
      <c r="G57" s="25" t="n">
        <f aca="false">ROUND((E57)*1.1088,0)</f>
        <v>2636724</v>
      </c>
      <c r="H57" s="25"/>
      <c r="I57" s="22"/>
      <c r="J57" s="25" t="n">
        <f aca="false">ROUND(E57*D57,0)</f>
        <v>197373834</v>
      </c>
      <c r="K57" s="25" t="n">
        <f aca="false">+E57*D57</f>
        <v>197373834</v>
      </c>
      <c r="L57" s="23"/>
      <c r="M57" s="24"/>
      <c r="N57" s="23"/>
      <c r="O57" s="50" t="n">
        <v>18.8043987087487</v>
      </c>
      <c r="P57" s="50" t="n">
        <v>22.3292018155208</v>
      </c>
      <c r="Q57" s="54" t="n">
        <v>1.8624227989703</v>
      </c>
      <c r="R57" s="37" t="n">
        <f aca="false">+E57*P57</f>
        <v>53098797.2589049</v>
      </c>
      <c r="S57" s="25" t="n">
        <f aca="false">+R57*D57</f>
        <v>4407200172.48911</v>
      </c>
      <c r="T57" s="25" t="n">
        <f aca="false">+R57/12</f>
        <v>4424899.77157541</v>
      </c>
      <c r="U57" s="25" t="n">
        <f aca="false">+T57*D57</f>
        <v>367266681.040759</v>
      </c>
      <c r="V57" s="28"/>
      <c r="W57" s="27" t="str">
        <f aca="false">CONCATENATE(A57,C57)</f>
        <v>AUXILIAR ADMINISTRATIVO17</v>
      </c>
      <c r="X57" s="39" t="n">
        <f aca="false">+R57</f>
        <v>53098797.2589049</v>
      </c>
      <c r="Y57" s="39" t="n">
        <f aca="false">+E57</f>
        <v>2377998</v>
      </c>
    </row>
    <row r="58" customFormat="false" ht="12.65" hidden="false" customHeight="false" outlineLevel="0" collapsed="false">
      <c r="A58" s="40" t="s">
        <v>49</v>
      </c>
      <c r="B58" s="31" t="n">
        <v>4044</v>
      </c>
      <c r="C58" s="31" t="n">
        <v>16</v>
      </c>
      <c r="D58" s="33" t="n">
        <f aca="false">60-3</f>
        <v>57</v>
      </c>
      <c r="E58" s="34" t="n">
        <v>2328818</v>
      </c>
      <c r="F58" s="25"/>
      <c r="G58" s="25" t="n">
        <f aca="false">ROUND((E58)*1.1088,0)</f>
        <v>2582193</v>
      </c>
      <c r="H58" s="25"/>
      <c r="I58" s="22"/>
      <c r="J58" s="25" t="n">
        <f aca="false">ROUND(E58*D58,0)</f>
        <v>132742626</v>
      </c>
      <c r="K58" s="25" t="n">
        <f aca="false">+E58*D58</f>
        <v>132742626</v>
      </c>
      <c r="L58" s="23"/>
      <c r="M58" s="24"/>
      <c r="N58" s="23"/>
      <c r="O58" s="50" t="n">
        <v>18.8573054460151</v>
      </c>
      <c r="P58" s="50" t="n">
        <v>22.3834440065344</v>
      </c>
      <c r="Q58" s="54" t="n">
        <v>1.8624227989703</v>
      </c>
      <c r="R58" s="37" t="n">
        <f aca="false">+E58*P58</f>
        <v>52126967.3044094</v>
      </c>
      <c r="S58" s="25" t="n">
        <f aca="false">+R58*D58</f>
        <v>2971237136.35134</v>
      </c>
      <c r="T58" s="25" t="n">
        <f aca="false">+R58/12</f>
        <v>4343913.94203412</v>
      </c>
      <c r="U58" s="25" t="n">
        <f aca="false">+T58*D58</f>
        <v>247603094.695945</v>
      </c>
      <c r="V58" s="28"/>
      <c r="W58" s="27" t="str">
        <f aca="false">CONCATENATE(A58,C58)</f>
        <v>AUXILIAR ADMINISTRATIVO16</v>
      </c>
      <c r="X58" s="39" t="n">
        <f aca="false">+R58</f>
        <v>52126967.3044094</v>
      </c>
      <c r="Y58" s="39" t="n">
        <f aca="false">+E58</f>
        <v>2328818</v>
      </c>
    </row>
    <row r="59" customFormat="false" ht="12.65" hidden="false" customHeight="false" outlineLevel="0" collapsed="false">
      <c r="A59" s="40" t="s">
        <v>49</v>
      </c>
      <c r="B59" s="31" t="n">
        <v>4044</v>
      </c>
      <c r="C59" s="31" t="n">
        <v>15</v>
      </c>
      <c r="D59" s="33" t="n">
        <f aca="false">58+30</f>
        <v>88</v>
      </c>
      <c r="E59" s="34" t="n">
        <v>2229680</v>
      </c>
      <c r="F59" s="25"/>
      <c r="G59" s="25" t="n">
        <f aca="false">ROUND((E59)*1.1088,0)</f>
        <v>2472269</v>
      </c>
      <c r="H59" s="25"/>
      <c r="I59" s="22"/>
      <c r="J59" s="25" t="n">
        <f aca="false">ROUND(E59*D59,0)</f>
        <v>196211840</v>
      </c>
      <c r="K59" s="25" t="n">
        <f aca="false">+E59*D59</f>
        <v>196211840</v>
      </c>
      <c r="L59" s="23"/>
      <c r="M59" s="24"/>
      <c r="N59" s="23"/>
      <c r="O59" s="50" t="n">
        <v>18.8957515510405</v>
      </c>
      <c r="P59" s="50" t="n">
        <v>22.4228605549792</v>
      </c>
      <c r="Q59" s="54" t="n">
        <v>1.8703164397959</v>
      </c>
      <c r="R59" s="37" t="n">
        <f aca="false">+E59*P59</f>
        <v>49995803.722226</v>
      </c>
      <c r="S59" s="25" t="n">
        <f aca="false">+R59*D59</f>
        <v>4399630727.55589</v>
      </c>
      <c r="T59" s="25" t="n">
        <f aca="false">+R59/12</f>
        <v>4166316.97685217</v>
      </c>
      <c r="U59" s="25" t="n">
        <f aca="false">+T59*D59</f>
        <v>366635893.962991</v>
      </c>
      <c r="V59" s="28"/>
      <c r="W59" s="27" t="str">
        <f aca="false">CONCATENATE(A59,C59)</f>
        <v>AUXILIAR ADMINISTRATIVO15</v>
      </c>
      <c r="X59" s="39" t="n">
        <f aca="false">+R59</f>
        <v>49995803.722226</v>
      </c>
      <c r="Y59" s="39" t="n">
        <f aca="false">+E59</f>
        <v>2229680</v>
      </c>
    </row>
    <row r="60" customFormat="false" ht="12.65" hidden="false" customHeight="false" outlineLevel="0" collapsed="false">
      <c r="A60" s="40" t="s">
        <v>49</v>
      </c>
      <c r="B60" s="31" t="n">
        <v>4044</v>
      </c>
      <c r="C60" s="31" t="n">
        <v>13</v>
      </c>
      <c r="D60" s="33" t="n">
        <v>189</v>
      </c>
      <c r="E60" s="34" t="n">
        <v>2116109</v>
      </c>
      <c r="F60" s="25"/>
      <c r="G60" s="25" t="n">
        <f aca="false">ROUND((E60)*1.1088,0)</f>
        <v>2346342</v>
      </c>
      <c r="H60" s="25"/>
      <c r="I60" s="22"/>
      <c r="J60" s="25" t="n">
        <f aca="false">ROUND(E60*D60,0)</f>
        <v>399944601</v>
      </c>
      <c r="K60" s="25" t="n">
        <f aca="false">+E60*D60</f>
        <v>399944601</v>
      </c>
      <c r="L60" s="23"/>
      <c r="M60" s="24"/>
      <c r="N60" s="23"/>
      <c r="O60" s="50" t="n">
        <v>19.0902454729877</v>
      </c>
      <c r="P60" s="50" t="n">
        <v>22.622263825911</v>
      </c>
      <c r="Q60" s="54" t="n">
        <v>1.88712264982635</v>
      </c>
      <c r="R60" s="37" t="n">
        <f aca="false">+E60*P60</f>
        <v>47871176.0823848</v>
      </c>
      <c r="S60" s="25" t="n">
        <f aca="false">+R60*D60</f>
        <v>9047652279.57072</v>
      </c>
      <c r="T60" s="25" t="n">
        <f aca="false">+R60/12</f>
        <v>3989264.67353206</v>
      </c>
      <c r="U60" s="25" t="n">
        <f aca="false">+T60*D60</f>
        <v>753971023.29756</v>
      </c>
      <c r="V60" s="28"/>
      <c r="W60" s="27" t="str">
        <f aca="false">CONCATENATE(A60,C60)</f>
        <v>AUXILIAR ADMINISTRATIVO13</v>
      </c>
      <c r="X60" s="39" t="n">
        <f aca="false">+R60</f>
        <v>47871176.0823848</v>
      </c>
      <c r="Y60" s="39" t="n">
        <f aca="false">+E60</f>
        <v>2116109</v>
      </c>
    </row>
    <row r="61" customFormat="false" ht="12.65" hidden="false" customHeight="false" outlineLevel="0" collapsed="false">
      <c r="A61" s="40" t="s">
        <v>49</v>
      </c>
      <c r="B61" s="31" t="n">
        <v>4044</v>
      </c>
      <c r="C61" s="31" t="n">
        <v>11</v>
      </c>
      <c r="D61" s="33" t="n">
        <v>31</v>
      </c>
      <c r="E61" s="34" t="n">
        <v>1909076</v>
      </c>
      <c r="F61" s="25"/>
      <c r="G61" s="25" t="n">
        <f aca="false">ROUND((E61)*1.1088,0)</f>
        <v>2116783</v>
      </c>
      <c r="H61" s="25"/>
      <c r="I61" s="22"/>
      <c r="J61" s="25" t="n">
        <f aca="false">ROUND(E61*D61,0)</f>
        <v>59181356</v>
      </c>
      <c r="K61" s="25" t="n">
        <f aca="false">+E61*D61</f>
        <v>59181356</v>
      </c>
      <c r="L61" s="23"/>
      <c r="M61" s="24"/>
      <c r="N61" s="23"/>
      <c r="O61" s="50" t="n">
        <v>19.4607307155914</v>
      </c>
      <c r="P61" s="50" t="n">
        <v>23.0021007301572</v>
      </c>
      <c r="Q61" s="54" t="n">
        <v>1.91913619789425</v>
      </c>
      <c r="R61" s="37" t="n">
        <f aca="false">+E61*P61</f>
        <v>43912758.4535256</v>
      </c>
      <c r="S61" s="25" t="n">
        <f aca="false">+R61*D61</f>
        <v>1361295512.05929</v>
      </c>
      <c r="T61" s="25" t="n">
        <f aca="false">+R61/12</f>
        <v>3659396.5377938</v>
      </c>
      <c r="U61" s="25" t="n">
        <f aca="false">+T61*D61</f>
        <v>113441292.671608</v>
      </c>
      <c r="V61" s="28"/>
      <c r="W61" s="27" t="str">
        <f aca="false">CONCATENATE(A61,C61)</f>
        <v>AUXILIAR ADMINISTRATIVO11</v>
      </c>
      <c r="X61" s="39" t="n">
        <f aca="false">+R61</f>
        <v>43912758.4535256</v>
      </c>
      <c r="Y61" s="39" t="n">
        <f aca="false">+E61</f>
        <v>1909076</v>
      </c>
    </row>
    <row r="62" customFormat="false" ht="12.65" hidden="false" customHeight="false" outlineLevel="0" collapsed="false">
      <c r="A62" s="40" t="s">
        <v>50</v>
      </c>
      <c r="B62" s="31" t="n">
        <v>4103</v>
      </c>
      <c r="C62" s="31" t="n">
        <v>19</v>
      </c>
      <c r="D62" s="33" t="n">
        <f aca="false">17-3</f>
        <v>14</v>
      </c>
      <c r="E62" s="34" t="n">
        <v>2499848</v>
      </c>
      <c r="F62" s="25"/>
      <c r="G62" s="25" t="n">
        <f aca="false">ROUND((E62)*1.1088,0)</f>
        <v>2771831</v>
      </c>
      <c r="H62" s="25"/>
      <c r="I62" s="22"/>
      <c r="J62" s="25" t="n">
        <f aca="false">ROUND(E62*D62,0)</f>
        <v>34997872</v>
      </c>
      <c r="K62" s="25" t="n">
        <f aca="false">+E62*D62</f>
        <v>34997872</v>
      </c>
      <c r="L62" s="23"/>
      <c r="M62" s="24"/>
      <c r="N62" s="23"/>
      <c r="O62" s="50" t="n">
        <v>18.6982381750671</v>
      </c>
      <c r="P62" s="50" t="n">
        <v>22.2203616139966</v>
      </c>
      <c r="Q62" s="54" t="n">
        <v>1.85324945026542</v>
      </c>
      <c r="R62" s="37" t="n">
        <f aca="false">+E62*P62</f>
        <v>55547526.5400261</v>
      </c>
      <c r="S62" s="25" t="n">
        <f aca="false">+R62*D62</f>
        <v>777665371.560365</v>
      </c>
      <c r="T62" s="25" t="n">
        <f aca="false">+R62/12</f>
        <v>4628960.54500217</v>
      </c>
      <c r="U62" s="25" t="n">
        <f aca="false">+T62*D62</f>
        <v>64805447.6300304</v>
      </c>
      <c r="V62" s="28"/>
      <c r="W62" s="27" t="str">
        <f aca="false">CONCATENATE(A62,C62)</f>
        <v>CONDUCTOR MECANICO19</v>
      </c>
      <c r="X62" s="39" t="n">
        <f aca="false">+R62</f>
        <v>55547526.5400261</v>
      </c>
      <c r="Y62" s="39" t="n">
        <f aca="false">+E62</f>
        <v>2499848</v>
      </c>
    </row>
    <row r="63" customFormat="false" ht="12.65" hidden="false" customHeight="false" outlineLevel="0" collapsed="false">
      <c r="A63" s="40" t="s">
        <v>50</v>
      </c>
      <c r="B63" s="31" t="n">
        <v>4103</v>
      </c>
      <c r="C63" s="31" t="n">
        <v>17</v>
      </c>
      <c r="D63" s="33" t="n">
        <v>27</v>
      </c>
      <c r="E63" s="34" t="n">
        <v>2377998</v>
      </c>
      <c r="F63" s="25"/>
      <c r="G63" s="25" t="n">
        <f aca="false">ROUND((E63)*1.1088,0)</f>
        <v>2636724</v>
      </c>
      <c r="H63" s="25"/>
      <c r="I63" s="22"/>
      <c r="J63" s="25" t="n">
        <f aca="false">ROUND(E63*D63,0)</f>
        <v>64205946</v>
      </c>
      <c r="K63" s="25" t="n">
        <f aca="false">+E63*D63</f>
        <v>64205946</v>
      </c>
      <c r="L63" s="23"/>
      <c r="M63" s="24"/>
      <c r="N63" s="23"/>
      <c r="O63" s="50" t="n">
        <v>18.8043987087487</v>
      </c>
      <c r="P63" s="50" t="n">
        <v>22.3292018155208</v>
      </c>
      <c r="Q63" s="54" t="n">
        <v>1.8624227989703</v>
      </c>
      <c r="R63" s="37" t="n">
        <f aca="false">+E63*P63</f>
        <v>53098797.2589049</v>
      </c>
      <c r="S63" s="25" t="n">
        <f aca="false">+R63*D63</f>
        <v>1433667525.99043</v>
      </c>
      <c r="T63" s="25" t="n">
        <f aca="false">+R63/12</f>
        <v>4424899.77157541</v>
      </c>
      <c r="U63" s="25" t="n">
        <f aca="false">+T63*D63</f>
        <v>119472293.832536</v>
      </c>
      <c r="V63" s="28"/>
      <c r="W63" s="27" t="str">
        <f aca="false">CONCATENATE(A63,C63)</f>
        <v>CONDUCTOR MECANICO17</v>
      </c>
      <c r="X63" s="39" t="n">
        <f aca="false">+R63</f>
        <v>53098797.2589049</v>
      </c>
      <c r="Y63" s="39" t="n">
        <f aca="false">+E63</f>
        <v>2377998</v>
      </c>
    </row>
    <row r="64" customFormat="false" ht="12.65" hidden="false" customHeight="false" outlineLevel="0" collapsed="false">
      <c r="A64" s="40" t="s">
        <v>50</v>
      </c>
      <c r="B64" s="31" t="n">
        <v>4103</v>
      </c>
      <c r="C64" s="31" t="n">
        <v>15</v>
      </c>
      <c r="D64" s="33" t="n">
        <v>8</v>
      </c>
      <c r="E64" s="34" t="n">
        <v>2229680</v>
      </c>
      <c r="F64" s="25"/>
      <c r="G64" s="25" t="n">
        <f aca="false">ROUND((E64)*1.1088,0)</f>
        <v>2472269</v>
      </c>
      <c r="H64" s="25"/>
      <c r="I64" s="22"/>
      <c r="J64" s="25" t="n">
        <f aca="false">ROUND(E64*D64,0)</f>
        <v>17837440</v>
      </c>
      <c r="K64" s="25" t="n">
        <f aca="false">+E64*D64</f>
        <v>17837440</v>
      </c>
      <c r="L64" s="23"/>
      <c r="M64" s="24"/>
      <c r="N64" s="23"/>
      <c r="O64" s="50" t="n">
        <v>18.8957515510405</v>
      </c>
      <c r="P64" s="50" t="n">
        <v>22.4228605549792</v>
      </c>
      <c r="Q64" s="54" t="n">
        <v>1.8703164397959</v>
      </c>
      <c r="R64" s="37" t="n">
        <f aca="false">+E64*P64</f>
        <v>49995803.722226</v>
      </c>
      <c r="S64" s="25" t="n">
        <f aca="false">+R64*D64</f>
        <v>399966429.777808</v>
      </c>
      <c r="T64" s="25" t="n">
        <f aca="false">+R64/12</f>
        <v>4166316.97685217</v>
      </c>
      <c r="U64" s="25" t="n">
        <f aca="false">+T64*D64</f>
        <v>33330535.8148174</v>
      </c>
      <c r="V64" s="28"/>
      <c r="W64" s="27" t="str">
        <f aca="false">CONCATENATE(A64,C64)</f>
        <v>CONDUCTOR MECANICO15</v>
      </c>
      <c r="X64" s="39" t="n">
        <f aca="false">+R64</f>
        <v>49995803.722226</v>
      </c>
      <c r="Y64" s="39" t="n">
        <f aca="false">+E64</f>
        <v>2229680</v>
      </c>
    </row>
    <row r="65" customFormat="false" ht="12.65" hidden="false" customHeight="false" outlineLevel="0" collapsed="false">
      <c r="A65" s="40" t="s">
        <v>50</v>
      </c>
      <c r="B65" s="31" t="n">
        <v>4103</v>
      </c>
      <c r="C65" s="31" t="n">
        <v>13</v>
      </c>
      <c r="D65" s="33" t="n">
        <v>1</v>
      </c>
      <c r="E65" s="34" t="n">
        <v>2116109</v>
      </c>
      <c r="F65" s="25"/>
      <c r="G65" s="25" t="n">
        <f aca="false">ROUND((E65)*1.1088,0)</f>
        <v>2346342</v>
      </c>
      <c r="H65" s="25"/>
      <c r="I65" s="22"/>
      <c r="J65" s="25" t="n">
        <f aca="false">ROUND(E65*D65,0)</f>
        <v>2116109</v>
      </c>
      <c r="K65" s="25" t="n">
        <f aca="false">+E65*D65</f>
        <v>2116109</v>
      </c>
      <c r="L65" s="23"/>
      <c r="M65" s="24"/>
      <c r="N65" s="23"/>
      <c r="O65" s="50" t="n">
        <v>19.0902454729877</v>
      </c>
      <c r="P65" s="50" t="n">
        <v>22.622263825911</v>
      </c>
      <c r="Q65" s="54" t="n">
        <v>1.88244505181013</v>
      </c>
      <c r="R65" s="37" t="n">
        <f aca="false">+E65*P65</f>
        <v>47871176.0823848</v>
      </c>
      <c r="S65" s="25" t="n">
        <f aca="false">+R65*D65</f>
        <v>47871176.0823848</v>
      </c>
      <c r="T65" s="25" t="n">
        <f aca="false">+R65/12</f>
        <v>3989264.67353206</v>
      </c>
      <c r="U65" s="25" t="n">
        <f aca="false">+T65*D65</f>
        <v>3989264.67353206</v>
      </c>
      <c r="V65" s="28"/>
      <c r="W65" s="27" t="str">
        <f aca="false">CONCATENATE(A65,C65)</f>
        <v>CONDUCTOR MECANICO13</v>
      </c>
      <c r="X65" s="39" t="n">
        <f aca="false">+R65</f>
        <v>47871176.0823848</v>
      </c>
      <c r="Y65" s="39" t="n">
        <f aca="false">+E65</f>
        <v>2116109</v>
      </c>
    </row>
    <row r="66" customFormat="false" ht="12.65" hidden="false" customHeight="false" outlineLevel="0" collapsed="false">
      <c r="A66" s="40" t="s">
        <v>51</v>
      </c>
      <c r="B66" s="31" t="n">
        <v>4178</v>
      </c>
      <c r="C66" s="31" t="n">
        <v>14</v>
      </c>
      <c r="D66" s="33" t="n">
        <v>31</v>
      </c>
      <c r="E66" s="34" t="n">
        <v>2162467</v>
      </c>
      <c r="F66" s="25"/>
      <c r="G66" s="25" t="n">
        <f aca="false">ROUND((E66)*1.1088,0)</f>
        <v>2397743</v>
      </c>
      <c r="H66" s="25"/>
      <c r="I66" s="22"/>
      <c r="J66" s="25" t="n">
        <f aca="false">ROUND(E66*D66,0)</f>
        <v>67036477</v>
      </c>
      <c r="K66" s="25" t="n">
        <f aca="false">+E66*D66</f>
        <v>67036477</v>
      </c>
      <c r="L66" s="23"/>
      <c r="M66" s="24"/>
      <c r="N66" s="23"/>
      <c r="O66" s="50" t="n">
        <v>18.9537253255215</v>
      </c>
      <c r="P66" s="50" t="n">
        <v>22.4822976836259</v>
      </c>
      <c r="Q66" s="54" t="n">
        <v>1.8703164397959</v>
      </c>
      <c r="R66" s="37" t="n">
        <f aca="false">+E66*P66</f>
        <v>48617226.8250175</v>
      </c>
      <c r="S66" s="25" t="n">
        <f aca="false">+R66*D66</f>
        <v>1507134031.57554</v>
      </c>
      <c r="T66" s="25" t="n">
        <f aca="false">+R66/12</f>
        <v>4051435.56875146</v>
      </c>
      <c r="U66" s="25" t="n">
        <f aca="false">+T66*D66</f>
        <v>125594502.631295</v>
      </c>
      <c r="V66" s="28"/>
      <c r="W66" s="27" t="str">
        <f aca="false">CONCATENATE(A66,C66)</f>
        <v>SECRETARIO14</v>
      </c>
      <c r="X66" s="39" t="n">
        <f aca="false">+R66</f>
        <v>48617226.8250175</v>
      </c>
      <c r="Y66" s="39" t="n">
        <f aca="false">+E66</f>
        <v>2162467</v>
      </c>
    </row>
    <row r="67" customFormat="false" ht="12.65" hidden="false" customHeight="false" outlineLevel="0" collapsed="false">
      <c r="A67" s="40" t="s">
        <v>52</v>
      </c>
      <c r="B67" s="31" t="n">
        <v>4210</v>
      </c>
      <c r="C67" s="31" t="n">
        <v>24</v>
      </c>
      <c r="D67" s="33" t="n">
        <v>14</v>
      </c>
      <c r="E67" s="34" t="n">
        <v>3432781</v>
      </c>
      <c r="F67" s="25"/>
      <c r="G67" s="25" t="n">
        <f aca="false">ROUND((E67)*1.1088,0)</f>
        <v>3806268</v>
      </c>
      <c r="H67" s="25"/>
      <c r="I67" s="22"/>
      <c r="J67" s="25" t="n">
        <f aca="false">ROUND(E67*D67,0)</f>
        <v>48058934</v>
      </c>
      <c r="K67" s="25" t="n">
        <f aca="false">+E67*D67</f>
        <v>48058934</v>
      </c>
      <c r="L67" s="23"/>
      <c r="M67" s="24"/>
      <c r="N67" s="23"/>
      <c r="O67" s="50" t="n">
        <v>16.8898775077161</v>
      </c>
      <c r="P67" s="50" t="n">
        <v>20.3294131188272</v>
      </c>
      <c r="Q67" s="54" t="n">
        <v>1.69411775990226</v>
      </c>
      <c r="R67" s="37" t="n">
        <f aca="false">+E67*P67</f>
        <v>69786423.0954606</v>
      </c>
      <c r="S67" s="25" t="n">
        <f aca="false">+R67*D67</f>
        <v>977009923.336449</v>
      </c>
      <c r="T67" s="25" t="n">
        <f aca="false">+R67/12</f>
        <v>5815535.25795505</v>
      </c>
      <c r="U67" s="25" t="n">
        <f aca="false">+T67*D67</f>
        <v>81417493.6113707</v>
      </c>
      <c r="V67" s="28"/>
      <c r="W67" s="27" t="str">
        <f aca="false">CONCATENATE(A67,C67)</f>
        <v>SECRETARIO EJECUTIVO24</v>
      </c>
      <c r="X67" s="39" t="n">
        <f aca="false">+R67</f>
        <v>69786423.0954606</v>
      </c>
      <c r="Y67" s="39" t="n">
        <f aca="false">+E67</f>
        <v>3432781</v>
      </c>
    </row>
    <row r="68" customFormat="false" ht="12.65" hidden="false" customHeight="false" outlineLevel="0" collapsed="false">
      <c r="A68" s="40" t="s">
        <v>52</v>
      </c>
      <c r="B68" s="31" t="n">
        <v>4210</v>
      </c>
      <c r="C68" s="31" t="n">
        <v>22</v>
      </c>
      <c r="D68" s="33" t="n">
        <v>2</v>
      </c>
      <c r="E68" s="34" t="n">
        <v>2850336</v>
      </c>
      <c r="F68" s="25"/>
      <c r="G68" s="25" t="n">
        <f aca="false">ROUND((E68)*1.1088,0)</f>
        <v>3160453</v>
      </c>
      <c r="H68" s="25"/>
      <c r="I68" s="22"/>
      <c r="J68" s="25" t="n">
        <f aca="false">ROUND(E68*D68,0)</f>
        <v>5700672</v>
      </c>
      <c r="K68" s="25" t="n">
        <f aca="false">+E68*D68</f>
        <v>5700672</v>
      </c>
      <c r="L68" s="23"/>
      <c r="M68" s="24"/>
      <c r="N68" s="23"/>
      <c r="O68" s="50" t="n">
        <v>20.6397949897608</v>
      </c>
      <c r="P68" s="50" t="n">
        <v>24.1857013771876</v>
      </c>
      <c r="Q68" s="54" t="n">
        <v>1.76787951065836</v>
      </c>
      <c r="R68" s="37" t="n">
        <f aca="false">+E68*P68</f>
        <v>68937375.3206475</v>
      </c>
      <c r="S68" s="25" t="n">
        <f aca="false">+R68*D68</f>
        <v>137874750.641295</v>
      </c>
      <c r="T68" s="25" t="n">
        <f aca="false">+R68/12</f>
        <v>5744781.27672062</v>
      </c>
      <c r="U68" s="25" t="n">
        <f aca="false">+T68*D68</f>
        <v>11489562.5534412</v>
      </c>
      <c r="V68" s="28"/>
      <c r="W68" s="27" t="str">
        <f aca="false">CONCATENATE(A68,C68)</f>
        <v>SECRETARIO EJECUTIVO22</v>
      </c>
      <c r="X68" s="39" t="n">
        <f aca="false">+R68</f>
        <v>68937375.3206475</v>
      </c>
      <c r="Y68" s="39" t="n">
        <f aca="false">+E68</f>
        <v>2850336</v>
      </c>
    </row>
    <row r="69" customFormat="false" ht="12.65" hidden="false" customHeight="false" outlineLevel="0" collapsed="false">
      <c r="A69" s="40" t="s">
        <v>52</v>
      </c>
      <c r="B69" s="31" t="n">
        <v>4210</v>
      </c>
      <c r="C69" s="31" t="n">
        <v>21</v>
      </c>
      <c r="D69" s="33" t="n">
        <v>42</v>
      </c>
      <c r="E69" s="34" t="n">
        <v>2685993</v>
      </c>
      <c r="F69" s="25"/>
      <c r="G69" s="25" t="n">
        <f aca="false">ROUND((E69)*1.1088,0)</f>
        <v>2978229</v>
      </c>
      <c r="H69" s="25"/>
      <c r="I69" s="22"/>
      <c r="J69" s="25" t="n">
        <f aca="false">ROUND(E69*D69,0)</f>
        <v>112811706</v>
      </c>
      <c r="K69" s="25" t="n">
        <f aca="false">+E69*D69</f>
        <v>112811706</v>
      </c>
      <c r="L69" s="23"/>
      <c r="M69" s="24"/>
      <c r="N69" s="23"/>
      <c r="O69" s="50" t="n">
        <v>17.7061411381728</v>
      </c>
      <c r="P69" s="50" t="n">
        <v>21.2183679952989</v>
      </c>
      <c r="Q69" s="54" t="n">
        <v>1.7694732076158</v>
      </c>
      <c r="R69" s="37" t="n">
        <f aca="false">+E69*P69</f>
        <v>56992387.906797</v>
      </c>
      <c r="S69" s="25" t="n">
        <f aca="false">+R69*D69</f>
        <v>2393680292.08547</v>
      </c>
      <c r="T69" s="25" t="n">
        <f aca="false">+R69/12</f>
        <v>4749365.65889975</v>
      </c>
      <c r="U69" s="25" t="n">
        <f aca="false">+T69*D69</f>
        <v>199473357.673789</v>
      </c>
      <c r="V69" s="28"/>
      <c r="W69" s="27" t="str">
        <f aca="false">CONCATENATE(A69,C69)</f>
        <v>SECRETARIO EJECUTIVO21</v>
      </c>
      <c r="X69" s="39" t="n">
        <f aca="false">+R69</f>
        <v>56992387.906797</v>
      </c>
      <c r="Y69" s="39" t="n">
        <f aca="false">+E69</f>
        <v>2685993</v>
      </c>
    </row>
    <row r="70" customFormat="false" ht="12.65" hidden="false" customHeight="false" outlineLevel="0" collapsed="false">
      <c r="A70" s="40" t="s">
        <v>52</v>
      </c>
      <c r="B70" s="31" t="n">
        <v>4210</v>
      </c>
      <c r="C70" s="31" t="n">
        <v>19</v>
      </c>
      <c r="D70" s="33" t="n">
        <v>3</v>
      </c>
      <c r="E70" s="34" t="n">
        <v>2499848</v>
      </c>
      <c r="F70" s="25"/>
      <c r="G70" s="25" t="n">
        <f aca="false">ROUND((E70)*1.1088,0)</f>
        <v>2771831</v>
      </c>
      <c r="H70" s="25"/>
      <c r="I70" s="22"/>
      <c r="J70" s="25" t="n">
        <f aca="false">ROUND(E70*D70,0)</f>
        <v>7499544</v>
      </c>
      <c r="K70" s="25" t="n">
        <f aca="false">+E70*D70</f>
        <v>7499544</v>
      </c>
      <c r="L70" s="23"/>
      <c r="M70" s="24"/>
      <c r="N70" s="23"/>
      <c r="O70" s="50" t="n">
        <v>18.6982381750671</v>
      </c>
      <c r="P70" s="50" t="n">
        <v>22.2203616139966</v>
      </c>
      <c r="Q70" s="54" t="n">
        <v>1.85324945026542</v>
      </c>
      <c r="R70" s="37" t="n">
        <f aca="false">+E70*P70</f>
        <v>55547526.5400261</v>
      </c>
      <c r="S70" s="25" t="n">
        <f aca="false">+R70*D70</f>
        <v>166642579.620078</v>
      </c>
      <c r="T70" s="25" t="n">
        <f aca="false">+R70/12</f>
        <v>4628960.54500217</v>
      </c>
      <c r="U70" s="25" t="n">
        <f aca="false">+T70*D70</f>
        <v>13886881.6350065</v>
      </c>
      <c r="V70" s="28"/>
      <c r="W70" s="27" t="str">
        <f aca="false">CONCATENATE(A70,C70)</f>
        <v>SECRETARIO EJECUTIVO19</v>
      </c>
      <c r="X70" s="39" t="n">
        <f aca="false">+R70</f>
        <v>55547526.5400261</v>
      </c>
      <c r="Y70" s="39" t="n">
        <f aca="false">+E70</f>
        <v>2499848</v>
      </c>
    </row>
    <row r="71" customFormat="false" ht="12.65" hidden="false" customHeight="false" outlineLevel="0" collapsed="false">
      <c r="A71" s="40" t="s">
        <v>52</v>
      </c>
      <c r="B71" s="31" t="n">
        <v>4210</v>
      </c>
      <c r="C71" s="31" t="n">
        <v>18</v>
      </c>
      <c r="D71" s="33" t="n">
        <v>91</v>
      </c>
      <c r="E71" s="34" t="n">
        <v>2436984</v>
      </c>
      <c r="F71" s="25"/>
      <c r="G71" s="25" t="n">
        <f aca="false">ROUND((E71)*1.1088,0)</f>
        <v>2702128</v>
      </c>
      <c r="H71" s="25"/>
      <c r="I71" s="22"/>
      <c r="J71" s="25" t="n">
        <f aca="false">ROUND(E71*D71,0)</f>
        <v>221765544</v>
      </c>
      <c r="K71" s="25" t="n">
        <f aca="false">+E71*D71</f>
        <v>221765544</v>
      </c>
      <c r="L71" s="23"/>
      <c r="M71" s="24"/>
      <c r="N71" s="23"/>
      <c r="O71" s="50" t="n">
        <v>18.7319409574807</v>
      </c>
      <c r="P71" s="50" t="n">
        <v>22.2549151105042</v>
      </c>
      <c r="Q71" s="54" t="n">
        <v>1.85324945026542</v>
      </c>
      <c r="R71" s="37" t="n">
        <f aca="false">+E71*P71</f>
        <v>54234872.0456571</v>
      </c>
      <c r="S71" s="25" t="n">
        <f aca="false">+R71*D71</f>
        <v>4935373356.1548</v>
      </c>
      <c r="T71" s="25" t="n">
        <f aca="false">+R71/12</f>
        <v>4519572.67047142</v>
      </c>
      <c r="U71" s="25" t="n">
        <f aca="false">+T71*D71</f>
        <v>411281113.0129</v>
      </c>
      <c r="V71" s="28"/>
      <c r="W71" s="27" t="str">
        <f aca="false">CONCATENATE(A71,C71)</f>
        <v>SECRETARIO EJECUTIVO18</v>
      </c>
      <c r="X71" s="39" t="n">
        <f aca="false">+R71</f>
        <v>54234872.0456571</v>
      </c>
      <c r="Y71" s="39" t="n">
        <f aca="false">+E71</f>
        <v>2436984</v>
      </c>
    </row>
    <row r="72" customFormat="false" ht="12.65" hidden="false" customHeight="false" outlineLevel="0" collapsed="false">
      <c r="A72" s="40" t="s">
        <v>52</v>
      </c>
      <c r="B72" s="31" t="n">
        <v>4210</v>
      </c>
      <c r="C72" s="31" t="n">
        <v>16</v>
      </c>
      <c r="D72" s="33" t="n">
        <v>130</v>
      </c>
      <c r="E72" s="34" t="n">
        <v>2328818</v>
      </c>
      <c r="F72" s="25"/>
      <c r="G72" s="25" t="n">
        <f aca="false">ROUND((E72)*1.1088,0)</f>
        <v>2582193</v>
      </c>
      <c r="H72" s="25"/>
      <c r="I72" s="22"/>
      <c r="J72" s="25" t="n">
        <f aca="false">ROUND(E72*D72,0)</f>
        <v>302746340</v>
      </c>
      <c r="K72" s="25" t="n">
        <f aca="false">+E72*D72</f>
        <v>302746340</v>
      </c>
      <c r="L72" s="23"/>
      <c r="M72" s="24"/>
      <c r="N72" s="23"/>
      <c r="O72" s="50" t="n">
        <v>18.7319409574807</v>
      </c>
      <c r="P72" s="50" t="n">
        <v>22.2549151105042</v>
      </c>
      <c r="Q72" s="54" t="n">
        <v>1.85324945026542</v>
      </c>
      <c r="R72" s="37" t="n">
        <f aca="false">+E72*P72</f>
        <v>51827646.8978143</v>
      </c>
      <c r="S72" s="25" t="n">
        <f aca="false">+R72*D72</f>
        <v>6737594096.71586</v>
      </c>
      <c r="T72" s="25" t="n">
        <f aca="false">+R72/12</f>
        <v>4318970.57481786</v>
      </c>
      <c r="U72" s="25" t="n">
        <f aca="false">+T72*D72</f>
        <v>561466174.726321</v>
      </c>
      <c r="V72" s="28"/>
      <c r="W72" s="27" t="str">
        <f aca="false">CONCATENATE(A72,C72)</f>
        <v>SECRETARIO EJECUTIVO16</v>
      </c>
      <c r="X72" s="39" t="n">
        <f aca="false">+R72</f>
        <v>51827646.8978143</v>
      </c>
      <c r="Y72" s="39" t="n">
        <f aca="false">+E72</f>
        <v>2328818</v>
      </c>
    </row>
    <row r="73" customFormat="false" ht="12.65" hidden="false" customHeight="false" outlineLevel="0" collapsed="false">
      <c r="A73" s="41" t="s">
        <v>38</v>
      </c>
      <c r="B73" s="42"/>
      <c r="C73" s="42"/>
      <c r="D73" s="20" t="n">
        <f aca="false">SUM(D53:D72)</f>
        <v>892</v>
      </c>
      <c r="E73" s="25"/>
      <c r="F73" s="25"/>
      <c r="G73" s="25"/>
      <c r="H73" s="27"/>
      <c r="I73" s="55"/>
      <c r="J73" s="56" t="n">
        <f aca="false">SUM(J53:J72)</f>
        <v>2074424545</v>
      </c>
      <c r="K73" s="57" t="n">
        <f aca="false">SUM(K53:K66)</f>
        <v>1375841805</v>
      </c>
      <c r="L73" s="51" t="n">
        <f aca="false">+J73/D73</f>
        <v>2325588.05493274</v>
      </c>
      <c r="M73" s="58" t="n">
        <f aca="false">+D73</f>
        <v>892</v>
      </c>
      <c r="N73" s="58" t="n">
        <f aca="false">+J73/D73</f>
        <v>2325588.05493274</v>
      </c>
      <c r="O73" s="56"/>
      <c r="P73" s="59"/>
      <c r="Q73" s="20"/>
      <c r="R73" s="20" t="n">
        <f aca="false">SUM(R53:R66)</f>
        <v>730633800.927859</v>
      </c>
      <c r="S73" s="20" t="n">
        <f aca="false">SUM(S53:S72)</f>
        <v>46206385839.9644</v>
      </c>
      <c r="T73" s="20"/>
      <c r="U73" s="20" t="n">
        <f aca="false">SUM(U53:U66)</f>
        <v>2571517570.11754</v>
      </c>
      <c r="V73" s="20" t="n">
        <f aca="false">+U73/D73</f>
        <v>2882867.23107347</v>
      </c>
      <c r="W73" s="27" t="str">
        <f aca="false">CONCATENATE(A73,C73)</f>
        <v>Subtotal</v>
      </c>
      <c r="X73" s="39" t="n">
        <f aca="false">+R73</f>
        <v>730633800.927859</v>
      </c>
      <c r="Y73" s="39" t="n">
        <f aca="false">+E73</f>
        <v>0</v>
      </c>
    </row>
    <row r="74" customFormat="false" ht="12.65" hidden="false" customHeight="false" outlineLevel="0" collapsed="false">
      <c r="A74" s="41" t="s">
        <v>53</v>
      </c>
      <c r="B74" s="42"/>
      <c r="C74" s="42"/>
      <c r="D74" s="20" t="n">
        <f aca="false">SUM(D21+D27+D42+D51+D73)</f>
        <v>8856</v>
      </c>
      <c r="E74" s="25"/>
      <c r="F74" s="25"/>
      <c r="G74" s="25"/>
      <c r="H74" s="27"/>
      <c r="I74" s="27"/>
      <c r="J74" s="60" t="n">
        <f aca="false">+J21+J27+J42+J51+J73</f>
        <v>44310878815</v>
      </c>
      <c r="K74" s="61" t="n">
        <f aca="false">+K21+K27+K42+K51+K73</f>
        <v>43612296075</v>
      </c>
      <c r="L74" s="62" t="n">
        <f aca="false">+J74/D74</f>
        <v>5003486.76772809</v>
      </c>
      <c r="M74" s="44" t="n">
        <f aca="false">+D74</f>
        <v>8856</v>
      </c>
      <c r="N74" s="44" t="n">
        <f aca="false">+J74/D74</f>
        <v>5003486.76772809</v>
      </c>
      <c r="O74" s="20"/>
      <c r="P74" s="20"/>
      <c r="Q74" s="20"/>
      <c r="R74" s="37"/>
      <c r="S74" s="60" t="n">
        <f aca="false">+S21+S27+S42+S51+S73</f>
        <v>912880626454.703</v>
      </c>
      <c r="T74" s="25"/>
      <c r="U74" s="60" t="n">
        <f aca="false">+U21+U27+U42+U51+U73</f>
        <v>74794370954.6791</v>
      </c>
      <c r="V74" s="20" t="n">
        <f aca="false">+U74/D74</f>
        <v>8445615.50978761</v>
      </c>
      <c r="W74" s="27" t="str">
        <f aca="false">CONCATENATE(A74,C74)</f>
        <v>Total</v>
      </c>
      <c r="X74" s="39" t="n">
        <f aca="false">+R74</f>
        <v>0</v>
      </c>
      <c r="Y74" s="39" t="n">
        <f aca="false">+E74</f>
        <v>0</v>
      </c>
    </row>
    <row r="75" customFormat="false" ht="12.65" hidden="false" customHeight="false" outlineLevel="0" collapsed="false">
      <c r="A75" s="23"/>
      <c r="B75" s="23"/>
      <c r="C75" s="23"/>
      <c r="D75" s="63"/>
      <c r="E75" s="28"/>
      <c r="F75" s="28"/>
      <c r="G75" s="28"/>
      <c r="H75" s="28"/>
      <c r="I75" s="23"/>
      <c r="J75" s="39"/>
      <c r="K75" s="39"/>
      <c r="L75" s="23"/>
      <c r="M75" s="24"/>
      <c r="N75" s="23"/>
      <c r="O75" s="28"/>
      <c r="P75" s="28"/>
      <c r="Q75" s="28"/>
      <c r="R75" s="37"/>
      <c r="S75" s="64"/>
      <c r="T75" s="28"/>
      <c r="U75" s="28"/>
      <c r="V75" s="28"/>
      <c r="W75" s="11"/>
      <c r="X75" s="11"/>
    </row>
    <row r="76" customFormat="false" ht="12.65" hidden="false" customHeight="false" outlineLevel="0" collapsed="false">
      <c r="A76" s="23"/>
      <c r="B76" s="23"/>
      <c r="C76" s="39"/>
      <c r="D76" s="63"/>
      <c r="E76" s="28"/>
      <c r="F76" s="28"/>
      <c r="G76" s="28"/>
      <c r="H76" s="28"/>
      <c r="I76" s="28"/>
      <c r="J76" s="65"/>
      <c r="K76" s="28"/>
      <c r="L76" s="23"/>
      <c r="M76" s="24"/>
      <c r="N76" s="23"/>
      <c r="O76" s="28"/>
      <c r="P76" s="23"/>
      <c r="Q76" s="28"/>
      <c r="R76" s="37"/>
      <c r="S76" s="63"/>
      <c r="T76" s="28"/>
      <c r="U76" s="28"/>
      <c r="V76" s="28"/>
      <c r="W76" s="11"/>
      <c r="X76" s="11"/>
    </row>
    <row r="77" customFormat="false" ht="11.2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66"/>
      <c r="P77" s="11"/>
      <c r="Q77" s="11"/>
      <c r="R77" s="67"/>
      <c r="S77" s="68"/>
      <c r="T77" s="69"/>
      <c r="U77" s="11"/>
      <c r="V77" s="11"/>
      <c r="W77" s="11"/>
      <c r="X77" s="11"/>
    </row>
    <row r="78" customFormat="false" ht="11.2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67"/>
      <c r="S78" s="69"/>
      <c r="T78" s="69"/>
      <c r="U78" s="11"/>
    </row>
    <row r="79" customFormat="false" ht="11.25" hidden="false" customHeight="false" outlineLevel="0" collapsed="false">
      <c r="A79" s="11"/>
      <c r="B79" s="11"/>
      <c r="C79" s="11"/>
      <c r="D79" s="11"/>
      <c r="E79" s="23" t="s">
        <v>54</v>
      </c>
      <c r="F79" s="10"/>
      <c r="G79" s="70"/>
      <c r="H79" s="71" t="n">
        <v>1300000</v>
      </c>
      <c r="I79" s="71" t="n">
        <v>2600000</v>
      </c>
      <c r="J79" s="72"/>
      <c r="K79" s="11"/>
      <c r="L79" s="11"/>
      <c r="M79" s="67"/>
      <c r="N79" s="30"/>
      <c r="O79" s="11"/>
      <c r="P79" s="11"/>
      <c r="Q79" s="11"/>
      <c r="R79" s="11"/>
      <c r="S79" s="11"/>
      <c r="T79" s="11"/>
      <c r="U79" s="11"/>
    </row>
    <row r="80" customFormat="false" ht="11.25" hidden="false" customHeight="false" outlineLevel="0" collapsed="false">
      <c r="A80" s="11"/>
      <c r="B80" s="11"/>
      <c r="C80" s="11"/>
      <c r="D80" s="11"/>
      <c r="E80" s="73" t="s">
        <v>55</v>
      </c>
      <c r="F80" s="10"/>
      <c r="G80" s="74"/>
      <c r="H80" s="71" t="n">
        <v>2592594</v>
      </c>
      <c r="I80" s="71" t="s">
        <v>56</v>
      </c>
      <c r="J80" s="72"/>
      <c r="K80" s="11"/>
      <c r="L80" s="11"/>
      <c r="M80" s="67"/>
      <c r="N80" s="30"/>
      <c r="O80" s="11"/>
      <c r="P80" s="11"/>
      <c r="Q80" s="11"/>
      <c r="R80" s="11"/>
      <c r="S80" s="11"/>
      <c r="T80" s="11"/>
      <c r="U80" s="11"/>
    </row>
    <row r="81" customFormat="false" ht="11.25" hidden="false" customHeight="false" outlineLevel="0" collapsed="false">
      <c r="A81" s="11"/>
      <c r="B81" s="11"/>
      <c r="C81" s="11"/>
      <c r="D81" s="11"/>
      <c r="E81" s="23" t="s">
        <v>57</v>
      </c>
      <c r="F81" s="3"/>
      <c r="G81" s="74"/>
      <c r="H81" s="71" t="n">
        <v>2592594</v>
      </c>
      <c r="I81" s="71"/>
      <c r="J81" s="72"/>
      <c r="K81" s="75" t="s">
        <v>58</v>
      </c>
      <c r="L81" s="75"/>
      <c r="M81" s="75"/>
      <c r="N81" s="76"/>
      <c r="P81" s="11"/>
      <c r="Q81" s="11"/>
      <c r="R81" s="11"/>
      <c r="S81" s="11"/>
      <c r="T81" s="11"/>
      <c r="U81" s="11"/>
    </row>
    <row r="82" customFormat="false" ht="11.25" hidden="false" customHeight="false" outlineLevel="0" collapsed="false">
      <c r="A82" s="11"/>
      <c r="B82" s="11"/>
      <c r="C82" s="11"/>
      <c r="D82" s="11"/>
      <c r="E82" s="23" t="s">
        <v>59</v>
      </c>
      <c r="F82" s="10"/>
      <c r="G82" s="74"/>
      <c r="H82" s="71" t="n">
        <v>92458</v>
      </c>
      <c r="I82" s="25"/>
      <c r="J82" s="72"/>
      <c r="K82" s="77" t="n">
        <v>0.1088</v>
      </c>
      <c r="L82" s="11"/>
      <c r="M82" s="67"/>
      <c r="N82" s="30"/>
      <c r="O82" s="11"/>
      <c r="P82" s="11"/>
      <c r="Q82" s="11"/>
      <c r="R82" s="11"/>
      <c r="S82" s="11"/>
      <c r="T82" s="11"/>
      <c r="U82" s="11"/>
    </row>
    <row r="83" customFormat="false" ht="11.25" hidden="false" customHeight="false" outlineLevel="0" collapsed="false">
      <c r="A83" s="11"/>
      <c r="B83" s="11"/>
      <c r="C83" s="11"/>
      <c r="D83" s="11"/>
      <c r="E83" s="23" t="s">
        <v>60</v>
      </c>
      <c r="F83" s="11"/>
      <c r="G83" s="74"/>
      <c r="H83" s="71" t="n">
        <v>162000</v>
      </c>
      <c r="I83" s="25"/>
      <c r="J83" s="72"/>
      <c r="K83" s="11"/>
      <c r="L83" s="11"/>
      <c r="M83" s="67"/>
      <c r="N83" s="30"/>
      <c r="O83" s="11"/>
      <c r="P83" s="11"/>
      <c r="Q83" s="11"/>
      <c r="R83" s="11"/>
      <c r="S83" s="11"/>
      <c r="T83" s="11"/>
      <c r="U83" s="11"/>
    </row>
  </sheetData>
  <autoFilter ref="A9:Y76"/>
  <mergeCells count="7">
    <mergeCell ref="A1:H1"/>
    <mergeCell ref="A2:H2"/>
    <mergeCell ref="A3:H3"/>
    <mergeCell ref="A4:H4"/>
    <mergeCell ref="A5:H5"/>
    <mergeCell ref="A6:K6"/>
    <mergeCell ref="A7:K7"/>
  </mergeCells>
  <printOptions headings="false" gridLines="false" gridLinesSet="true" horizontalCentered="false" verticalCentered="false"/>
  <pageMargins left="0.7" right="0.7" top="0.597222222222222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2024-06-17T14:42:17Z</dcterms:created>
  <dc:creator>Elizabeth Caicedo Prado</dc:creator>
  <dc:description/>
  <dc:language>es-ES</dc:language>
  <cp:lastModifiedBy>Elizabeth Caicedo Prado</cp:lastModifiedBy>
  <dcterms:modified xsi:type="dcterms:W3CDTF">2024-06-17T14:44:58Z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